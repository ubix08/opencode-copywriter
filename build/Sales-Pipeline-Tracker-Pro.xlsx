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Pipeline" sheetId="2" state="visible" r:id="rId4"/>
    <sheet name="📅 Monthly Tracker" sheetId="3" state="visible" r:id="rId5"/>
    <sheet name="🎯 Goal Tracker" sheetId="4" state="visible" r:id="rId6"/>
    <sheet name="📣 Source Analysis" sheetId="5" state="visible" r:id="rId7"/>
    <sheet name="📖 How To U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<sst xmlns="http://schemas.openxmlformats.org/spreadsheetml/2006/main" count="278" uniqueCount="223">
  <si>
    <t xml:space="preserve">SALES PIPELINE DASHBOARD</t>
  </si>
  <si>
    <t xml:space="preserve">Real-Time Pipeline Overview  •  Track Leads, Deals &amp; Revenue</t>
  </si>
  <si>
    <t xml:space="preserve">TOTAL PIPELINE</t>
  </si>
  <si>
    <t xml:space="preserve">WEIGHTED VALUE</t>
  </si>
  <si>
    <t xml:space="preserve">DEALS WON ($)</t>
  </si>
  <si>
    <t xml:space="preserve">WIN RATE</t>
  </si>
  <si>
    <t xml:space="preserve">AVG DEAL SIZE</t>
  </si>
  <si>
    <t xml:space="preserve">PIPELINE BY STAGE</t>
  </si>
  <si>
    <t xml:space="preserve">Prospect</t>
  </si>
  <si>
    <t xml:space="preserve">Qualified</t>
  </si>
  <si>
    <t xml:space="preserve">Proposal</t>
  </si>
  <si>
    <t xml:space="preserve">Negotiation</t>
  </si>
  <si>
    <t xml:space="preserve">  PIPELINE ACTIVITY SUMMARY</t>
  </si>
  <si>
    <t xml:space="preserve">Stage</t>
  </si>
  <si>
    <t xml:space="preserve"># Deals</t>
  </si>
  <si>
    <t xml:space="preserve">Total Value</t>
  </si>
  <si>
    <t xml:space="preserve">Weighted</t>
  </si>
  <si>
    <t xml:space="preserve">Avg Deal</t>
  </si>
  <si>
    <t xml:space="preserve">Best Deal</t>
  </si>
  <si>
    <t xml:space="preserve">Close This Mo.</t>
  </si>
  <si>
    <t xml:space="preserve">Won</t>
  </si>
  <si>
    <t xml:space="preserve">Lost</t>
  </si>
  <si>
    <t xml:space="preserve">💡  Enter all deal data in the 📋 Pipeline tab  •  Use 📅 Monthly Tracker for trends  •  Review 🎯 Goal Tracker to hit your quota</t>
  </si>
  <si>
    <t xml:space="preserve">📋  SALES PIPELINE TRACKER  —  Blue cells = your inputs  |  Black/Green cells = auto-calculated  |  Use dropdowns for Stage, Source &amp; Priority</t>
  </si>
  <si>
    <t xml:space="preserve">Deal ID</t>
  </si>
  <si>
    <t xml:space="preserve">Company</t>
  </si>
  <si>
    <t xml:space="preserve">Contact Name</t>
  </si>
  <si>
    <t xml:space="preserve">Contact Email</t>
  </si>
  <si>
    <t xml:space="preserve">Phone</t>
  </si>
  <si>
    <t xml:space="preserve">Close Date</t>
  </si>
  <si>
    <t xml:space="preserve">Deal Value ($)</t>
  </si>
  <si>
    <t xml:space="preserve">Probability %</t>
  </si>
  <si>
    <t xml:space="preserve">Lead Source</t>
  </si>
  <si>
    <t xml:space="preserve">Weighted Value</t>
  </si>
  <si>
    <t xml:space="preserve">Days in Stage</t>
  </si>
  <si>
    <t xml:space="preserve">Owner</t>
  </si>
  <si>
    <t xml:space="preserve">Last Activity</t>
  </si>
  <si>
    <t xml:space="preserve">Next Action</t>
  </si>
  <si>
    <t xml:space="preserve">Priority</t>
  </si>
  <si>
    <t xml:space="preserve">Notes</t>
  </si>
  <si>
    <t xml:space="preserve">Days to Close</t>
  </si>
  <si>
    <t xml:space="preserve">Acme Corp</t>
  </si>
  <si>
    <t xml:space="preserve">Jane Smith</t>
  </si>
  <si>
    <t xml:space="preserve">jane@acme.com</t>
  </si>
  <si>
    <t xml:space="preserve">555-0101</t>
  </si>
  <si>
    <t xml:space="preserve">07/15/2025</t>
  </si>
  <si>
    <t xml:space="preserve">Inbound</t>
  </si>
  <si>
    <t xml:space="preserve">John D</t>
  </si>
  <si>
    <t xml:space="preserve">06/01/2025</t>
  </si>
  <si>
    <t xml:space="preserve">Send proposal</t>
  </si>
  <si>
    <t xml:space="preserve">🔴 High</t>
  </si>
  <si>
    <t xml:space="preserve">Strong budget fit</t>
  </si>
  <si>
    <t xml:space="preserve">Beta Solutions</t>
  </si>
  <si>
    <t xml:space="preserve">Mike Chen</t>
  </si>
  <si>
    <t xml:space="preserve">mike@beta.io</t>
  </si>
  <si>
    <t xml:space="preserve">555-0102</t>
  </si>
  <si>
    <t xml:space="preserve">08/01/2025</t>
  </si>
  <si>
    <t xml:space="preserve">Cold Call</t>
  </si>
  <si>
    <t xml:space="preserve">Sarah K</t>
  </si>
  <si>
    <t xml:space="preserve">05/28/2025</t>
  </si>
  <si>
    <t xml:space="preserve">Discovery call</t>
  </si>
  <si>
    <t xml:space="preserve">🟡 Medium</t>
  </si>
  <si>
    <t xml:space="preserve">Early stage</t>
  </si>
  <si>
    <t xml:space="preserve">Gamma LLC</t>
  </si>
  <si>
    <t xml:space="preserve">Lisa Ray</t>
  </si>
  <si>
    <t xml:space="preserve">lisa@gamma.com</t>
  </si>
  <si>
    <t xml:space="preserve">555-0103</t>
  </si>
  <si>
    <t xml:space="preserve">06/30/2025</t>
  </si>
  <si>
    <t xml:space="preserve">Referral</t>
  </si>
  <si>
    <t xml:space="preserve">05/30/2025</t>
  </si>
  <si>
    <t xml:space="preserve">Follow up on terms</t>
  </si>
  <si>
    <t xml:space="preserve">Competitor eval</t>
  </si>
  <si>
    <t xml:space="preserve">Delta Inc</t>
  </si>
  <si>
    <t xml:space="preserve">Tom West</t>
  </si>
  <si>
    <t xml:space="preserve">tom@delta.co</t>
  </si>
  <si>
    <t xml:space="preserve">555-0104</t>
  </si>
  <si>
    <t xml:space="preserve">06/20/2025</t>
  </si>
  <si>
    <t xml:space="preserve">Partner</t>
  </si>
  <si>
    <t xml:space="preserve">05/29/2025</t>
  </si>
  <si>
    <t xml:space="preserve">Contract review</t>
  </si>
  <si>
    <t xml:space="preserve">Legal reviewing</t>
  </si>
  <si>
    <t xml:space="preserve">Epsilon Co</t>
  </si>
  <si>
    <t xml:space="preserve">Amy Liu</t>
  </si>
  <si>
    <t xml:space="preserve">amy@epsilon.com</t>
  </si>
  <si>
    <t xml:space="preserve">555-0105</t>
  </si>
  <si>
    <t xml:space="preserve">05/15/2025</t>
  </si>
  <si>
    <t xml:space="preserve">Event</t>
  </si>
  <si>
    <t xml:space="preserve">Kickoff meeting</t>
  </si>
  <si>
    <t xml:space="preserve">🟢 Low</t>
  </si>
  <si>
    <t xml:space="preserve">Closed!</t>
  </si>
  <si>
    <t xml:space="preserve">Zeta Group</t>
  </si>
  <si>
    <t xml:space="preserve">Carl Brown</t>
  </si>
  <si>
    <t xml:space="preserve">carl@zeta.net</t>
  </si>
  <si>
    <t xml:space="preserve">555-0106</t>
  </si>
  <si>
    <t xml:space="preserve">04/30/2025</t>
  </si>
  <si>
    <t xml:space="preserve">Outbound</t>
  </si>
  <si>
    <t xml:space="preserve">Post-mortem</t>
  </si>
  <si>
    <t xml:space="preserve">Chose competitor</t>
  </si>
  <si>
    <t xml:space="preserve">Eta Dynamics</t>
  </si>
  <si>
    <t xml:space="preserve">Nina Park</t>
  </si>
  <si>
    <t xml:space="preserve">nina@eta.com</t>
  </si>
  <si>
    <t xml:space="preserve">555-0107</t>
  </si>
  <si>
    <t xml:space="preserve">07/20/2025</t>
  </si>
  <si>
    <t xml:space="preserve">05/27/2025</t>
  </si>
  <si>
    <t xml:space="preserve">Demo scheduled</t>
  </si>
  <si>
    <t xml:space="preserve">Good fit</t>
  </si>
  <si>
    <t xml:space="preserve">Theta Works</t>
  </si>
  <si>
    <t xml:space="preserve">Dan Ford</t>
  </si>
  <si>
    <t xml:space="preserve">dan@theta.io</t>
  </si>
  <si>
    <t xml:space="preserve">555-0108</t>
  </si>
  <si>
    <t xml:space="preserve">07/05/2025</t>
  </si>
  <si>
    <t xml:space="preserve">05/26/2025</t>
  </si>
  <si>
    <t xml:space="preserve">Send updated scope</t>
  </si>
  <si>
    <t xml:space="preserve">High value target</t>
  </si>
  <si>
    <t xml:space="preserve">Iota Ltd</t>
  </si>
  <si>
    <t xml:space="preserve">Eva Moss</t>
  </si>
  <si>
    <t xml:space="preserve">eva@iota.co</t>
  </si>
  <si>
    <t xml:space="preserve">555-0109</t>
  </si>
  <si>
    <t xml:space="preserve">08/15/2025</t>
  </si>
  <si>
    <t xml:space="preserve">Social</t>
  </si>
  <si>
    <t xml:space="preserve">05/25/2025</t>
  </si>
  <si>
    <t xml:space="preserve">LinkedIn connect</t>
  </si>
  <si>
    <t xml:space="preserve">Warm lead</t>
  </si>
  <si>
    <t xml:space="preserve">Kappa Ventures</t>
  </si>
  <si>
    <t xml:space="preserve">Rex King</t>
  </si>
  <si>
    <t xml:space="preserve">rex@kappa.com</t>
  </si>
  <si>
    <t xml:space="preserve">555-0110</t>
  </si>
  <si>
    <t xml:space="preserve">06/10/2025</t>
  </si>
  <si>
    <t xml:space="preserve">Final pricing call</t>
  </si>
  <si>
    <t xml:space="preserve">Strategic account</t>
  </si>
  <si>
    <t xml:space="preserve">📅  MONTHLY SALES TRACKER  —  Log activity each month to track trends and improve forecasting</t>
  </si>
  <si>
    <t xml:space="preserve">Month</t>
  </si>
  <si>
    <t xml:space="preserve">Year</t>
  </si>
  <si>
    <t xml:space="preserve">New Deals</t>
  </si>
  <si>
    <t xml:space="preserve">Deals Won</t>
  </si>
  <si>
    <t xml:space="preserve">Deals Lost</t>
  </si>
  <si>
    <t xml:space="preserve">New Pipeline ($)</t>
  </si>
  <si>
    <t xml:space="preserve">Won Revenue ($)</t>
  </si>
  <si>
    <t xml:space="preserve">Lost Revenue ($)</t>
  </si>
  <si>
    <t xml:space="preserve">Calls Made</t>
  </si>
  <si>
    <t xml:space="preserve">Emails Sent</t>
  </si>
  <si>
    <t xml:space="preserve">Demos Held</t>
  </si>
  <si>
    <t xml:space="preserve">Win Rate</t>
  </si>
  <si>
    <t xml:space="preserve">Conv. Rate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</si>
  <si>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</si>
  <si>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</si>
  <si>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</si>
  <si>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</si>
  <si>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</si>
  <si>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🎯  SALES GOAL TRACKER  —  Set annual and quarterly targets, track progress to quota</t>
  </si>
  <si>
    <t xml:space="preserve">Metric</t>
  </si>
  <si>
    <t xml:space="preserve">Annual Target</t>
  </si>
  <si>
    <t xml:space="preserve">Q1 Target</t>
  </si>
  <si>
    <t xml:space="preserve">Q2 Target</t>
  </si>
  <si>
    <t xml:space="preserve">Q3 Target</t>
  </si>
  <si>
    <t xml:space="preserve">Q4 Target</t>
  </si>
  <si>
    <t xml:space="preserve">YTD Actual</t>
  </si>
  <si>
    <t xml:space="preserve">% to Goal</t>
  </si>
  <si>
    <t xml:space="preserve">Revenue ($)</t>
  </si>
  <si>
    <t xml:space="preserve">Deals Closed</t>
  </si>
  <si>
    <t xml:space="preserve">Pipeline Created ($)</t>
  </si>
  <si>
    <t xml:space="preserve">Avg Deal Size ($)</t>
  </si>
  <si>
    <t xml:space="preserve">📣  LEAD SOURCE ANALYSIS  —  Identify your highest-converting and highest-value channels</t>
  </si>
  <si>
    <t xml:space="preserve">Total Deals</t>
  </si>
  <si>
    <t xml:space="preserve">Won Deals</t>
  </si>
  <si>
    <t xml:space="preserve">Lost Deals</t>
  </si>
  <si>
    <t xml:space="preserve">Total Value ($)</t>
  </si>
  <si>
    <t xml:space="preserve">Won Value ($)</t>
  </si>
  <si>
    <t xml:space="preserve">Email</t>
  </si>
  <si>
    <t xml:space="preserve">Other</t>
  </si>
  <si>
    <t xml:space="preserve">📖  QUICK START GUIDE — Sales Pipeline Tracker Pro</t>
  </si>
  <si>
    <t xml:space="preserve">  QUICK START</t>
  </si>
  <si>
    <t xml:space="preserve">Step 1 — Open Pipeline tab</t>
  </si>
  <si>
    <t xml:space="preserve">Go to 📋 Pipeline. This is your main data entry sheet. All other sheets update automatically.</t>
  </si>
  <si>
    <t xml:space="preserve">Step 2 — Fill blue cells</t>
  </si>
  <si>
    <t xml:space="preserve">Enter Company, Contact, Email, Phone, Stage (dropdown), Close Date, Deal Value ($), Lead Source (dropdown), Owner, Last Activity date, Next Action, Priority (dropdown), and Notes.</t>
  </si>
  <si>
    <t xml:space="preserve">Step 3 — Auto-calculations</t>
  </si>
  <si>
    <t xml:space="preserve">Deal ID, Probability %, Weighted Value, Days in Stage, and Days to Close all calculate automatically. Do not edit these columns.</t>
  </si>
  <si>
    <t xml:space="preserve">Step 4 — Check Dashboard</t>
  </si>
  <si>
    <t xml:space="preserve">📊 Dashboard updates in real time. Review it in your weekly pipeline meeting for instant visibility.</t>
  </si>
  <si>
    <t xml:space="preserve">Step 5 — Log monthly data</t>
  </si>
  <si>
    <t xml:space="preserve">Each month, record activity in 📅 Monthly Tracker to build trend history over time.</t>
  </si>
  <si>
    <t xml:space="preserve">Step 6 — Set your goals</t>
  </si>
  <si>
    <t xml:space="preserve">Update 🎯 Goal Tracker at start of each quarter with your revenue and activity targets.</t>
  </si>
  <si>
    <t xml:space="preserve">  PIPELINE STAGES</t>
  </si>
  <si>
    <t xml:space="preserve">Prospect — 10% probability</t>
  </si>
  <si>
    <t xml:space="preserve">Initial contact. You believe there's a potential fit. Not yet qualified.</t>
  </si>
  <si>
    <t xml:space="preserve">Qualified — 25% probability</t>
  </si>
  <si>
    <t xml:space="preserve">BANT confirmed: Budget, Authority, Need, Timeline. Real opportunity.</t>
  </si>
  <si>
    <t xml:space="preserve">Proposal — 50% probability</t>
  </si>
  <si>
    <t xml:space="preserve">You've submitted or scheduled a formal proposal or demo.</t>
  </si>
  <si>
    <t xml:space="preserve">Negotiation — 75% probability</t>
  </si>
  <si>
    <t xml:space="preserve">In active pricing or contract discussions. Near the finish line.</t>
  </si>
  <si>
    <t xml:space="preserve">Won — 100%</t>
  </si>
  <si>
    <t xml:space="preserve">Deal signed. Row turns green automatically. Counted in revenue metrics.</t>
  </si>
  <si>
    <t xml:space="preserve">Lost — 0%</t>
  </si>
  <si>
    <t xml:space="preserve">Opportunity lost. Row turns gray. Counted in loss rate metrics.</t>
  </si>
  <si>
    <t xml:space="preserve">  COLOR GUIDE</t>
  </si>
  <si>
    <t xml:space="preserve">Blue text cells</t>
  </si>
  <si>
    <t xml:space="preserve">YOUR inputs — fill these in for each deal.</t>
  </si>
  <si>
    <t xml:space="preserve">Green text cells</t>
  </si>
  <si>
    <t xml:space="preserve">Formulas pulling from other sheets — do not edit.</t>
  </si>
  <si>
    <t xml:space="preserve">Black text cells</t>
  </si>
  <si>
    <t xml:space="preserve">Calculated formulas on the same sheet — do not edit.</t>
  </si>
  <si>
    <t xml:space="preserve">Green row background</t>
  </si>
  <si>
    <t xml:space="preserve">Won deal — closed successfully.</t>
  </si>
  <si>
    <t xml:space="preserve">Gray row background</t>
  </si>
  <si>
    <t xml:space="preserve">Lost deal — closed unsuccessfully.</t>
  </si>
  <si>
    <t xml:space="preserve">Yellow row background</t>
  </si>
  <si>
    <t xml:space="preserve">High priority deal requiring immediate attention.</t>
  </si>
  <si>
    <t xml:space="preserve">  BEST PRACTICES</t>
  </si>
  <si>
    <t xml:space="preserve">Update daily (5 minutes)</t>
  </si>
  <si>
    <t xml:space="preserve">Each morning: update Last Activity and Next Action for your top 5 deals. Stale data = bad forecasts.</t>
  </si>
  <si>
    <t xml:space="preserve">Watch Days in Stage</t>
  </si>
  <si>
    <t xml:space="preserve">Any deal stuck &gt;30 days in Prospect or Qualified needs a decision: advance or mark Lost.</t>
  </si>
  <si>
    <t xml:space="preserve">Use the Notes column</t>
  </si>
  <si>
    <t xml:space="preserve">Add competitor mentions, budget signals, champion names, and objections. This is your CRM.</t>
  </si>
  <si>
    <t xml:space="preserve">Review weekly</t>
  </si>
  <si>
    <t xml:space="preserve">Use 📊 Dashboard in your Monday pipeline review. Focus on Weighted Value, not just Total Pipeline.</t>
  </si>
  <si>
    <t xml:space="preserve">Track activity monthly</t>
  </si>
  <si>
    <t xml:space="preserve">Log calls, emails, demos in 📅 Monthly Tracker. Win rate trends reveal coaching opportunities.</t>
  </si>
  <si>
    <t xml:space="preserve">Update goals quarterly</t>
  </si>
  <si>
    <t xml:space="preserve">Set realistic targets in 🎯 Goal Tracker. Review % to Goal weekly — don't wait until month-end.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</si>
</sst>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@"/>
    <numFmt numFmtId="168" formatCode="#,##0"/>
    <numFmt numFmtId="169" formatCode="mm/dd/yyyy"/>
    <numFmt numFmtId="170" formatCode="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7B2C8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ED7D31"/>
        <bgColor rgb="FFFF8080"/>
      </patternFill>
    </fill>
    <fill>
      <patternFill patternType="solid">
        <fgColor rgb="FF7B2C8F"/>
        <bgColor rgb="FF993366"/>
      </patternFill>
    </fill>
    <fill>
      <patternFill patternType="solid">
        <fgColor rgb="FFBDD7EE"/>
        <bgColor rgb="FFCCCC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7B2C8F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8" min="3" style="1" width="16"/>
    <col collapsed="false" customWidth="true" hidden="false" outlineLevel="0" max="9" min="9" style="1" width="2"/>
  </cols>
  <sheetData>
    <row r="1" customFormat="false" ht="9.75" hidden="false" customHeight="true" outlineLevel="0" collapsed="false"/>
    <row r="2" customFormat="false" ht="43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5.7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  <c r="H5" s="5"/>
    </row>
    <row r="6" customFormat="false" ht="13.5" hidden="false" customHeight="true" outlineLevel="0" collapsed="false">
      <c r="B6" s="6" t="n">
        <f aca="false">Pipeline!T2</f>
        <v>251700</v>
      </c>
      <c r="C6" s="7" t="n">
        <f aca="false">Pipeline!T3</f>
        <v>133670</v>
      </c>
      <c r="D6" s="8" t="n">
        <f aca="false">Pipeline!T4</f>
        <v>25000</v>
      </c>
      <c r="E6" s="9" t="n">
        <f aca="false">Pipeline!T5</f>
        <v>0.5</v>
      </c>
      <c r="F6" s="10" t="n">
        <f aca="false">Pipeline!T6</f>
        <v>29070</v>
      </c>
      <c r="G6" s="11" t="s">
        <v>8</v>
      </c>
      <c r="H6" s="12" t="n">
        <f aca="false">Pipeline!T8</f>
        <v>16700</v>
      </c>
    </row>
    <row r="7" customFormat="false" ht="13.5" hidden="false" customHeight="true" outlineLevel="0" collapsed="false">
      <c r="B7" s="13"/>
      <c r="C7" s="14"/>
      <c r="D7" s="15"/>
      <c r="E7" s="16"/>
      <c r="F7" s="17"/>
      <c r="G7" s="11" t="s">
        <v>9</v>
      </c>
      <c r="H7" s="12" t="n">
        <f aca="false">Pipeline!T9</f>
        <v>40000</v>
      </c>
    </row>
    <row r="8" customFormat="false" ht="13.5" hidden="false" customHeight="true" outlineLevel="0" collapsed="false">
      <c r="G8" s="11" t="s">
        <v>10</v>
      </c>
      <c r="H8" s="12" t="n">
        <f aca="false">Pipeline!T10</f>
        <v>97000</v>
      </c>
    </row>
    <row r="9" customFormat="false" ht="13.5" hidden="false" customHeight="true" outlineLevel="0" collapsed="false">
      <c r="G9" s="11" t="s">
        <v>11</v>
      </c>
      <c r="H9" s="12" t="n">
        <f aca="false">Pipeline!T11</f>
        <v>98000</v>
      </c>
    </row>
    <row r="10" customFormat="false" ht="9.75" hidden="false" customHeight="true" outlineLevel="0" collapsed="false"/>
    <row r="11" customFormat="false" ht="19.5" hidden="false" customHeight="true" outlineLevel="0" collapsed="false">
      <c r="B11" s="18" t="s">
        <v>12</v>
      </c>
      <c r="C11" s="18"/>
      <c r="D11" s="18"/>
      <c r="E11" s="18"/>
      <c r="F11" s="18"/>
      <c r="G11" s="18"/>
      <c r="H11" s="18"/>
    </row>
    <row r="12" customFormat="false" ht="15.75" hidden="false" customHeight="true" outlineLevel="0" collapsed="false"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</row>
    <row r="13" customFormat="false" ht="15.75" hidden="false" customHeight="true" outlineLevel="0" collapsed="false">
      <c r="B13" s="20" t="s">
        <v>8</v>
      </c>
      <c r="C13" s="21" t="n">
        <f aca="false">COUNTIF(Pipeline!F:F,"Prospect")</f>
        <v>2</v>
      </c>
      <c r="D13" s="22" t="n">
        <f aca="false">SUMIF(Pipeline!F:F,"Prospect",Pipeline!H:H)</f>
        <v>16700</v>
      </c>
      <c r="E13" s="22" t="n">
        <f aca="false">SUMIF(Pipeline!F:F,"Prospect",Pipeline!K:K)</f>
        <v>1670</v>
      </c>
      <c r="F13" s="22" t="n">
        <f aca="false">IFERROR(AVERAGEIF(Pipeline!F:F,"Prospect",Pipeline!H:H),0)</f>
        <v>8350</v>
      </c>
      <c r="G13" s="22" t="n">
        <f aca="false">IFERROR(maxifs(Pipeline!H:H,Pipeline!F:F,"Prospect"),0)</f>
        <v>0</v>
      </c>
      <c r="H13" s="22" t="n">
        <f aca="true">SUMIFS(Pipeline!H:H,Pipeline!F:F,"Prospect",Pipeline!G:G,"&gt;="&amp;DATE(YEAR(TODAY()),MONTH(TODAY()),1),Pipeline!G:G,"&lt;="&amp;EOMONTH(TODAY(),0))</f>
        <v>0</v>
      </c>
    </row>
    <row r="14" customFormat="false" ht="15.75" hidden="false" customHeight="true" outlineLevel="0" collapsed="false">
      <c r="B14" s="23" t="s">
        <v>9</v>
      </c>
      <c r="C14" s="24" t="n">
        <f aca="false">COUNTIF(Pipeline!F:F,"Qualified")</f>
        <v>2</v>
      </c>
      <c r="D14" s="25" t="n">
        <f aca="false">SUMIF(Pipeline!F:F,"Qualified",Pipeline!H:H)</f>
        <v>40000</v>
      </c>
      <c r="E14" s="25" t="n">
        <f aca="false">SUMIF(Pipeline!F:F,"Qualified",Pipeline!K:K)</f>
        <v>10000</v>
      </c>
      <c r="F14" s="25" t="n">
        <f aca="false">IFERROR(AVERAGEIF(Pipeline!F:F,"Qualified",Pipeline!H:H),0)</f>
        <v>20000</v>
      </c>
      <c r="G14" s="25" t="n">
        <f aca="false">IFERROR(maxifs(Pipeline!H:H,Pipeline!F:F,"Qualified"),0)</f>
        <v>0</v>
      </c>
      <c r="H14" s="25" t="n">
        <f aca="true">SUMIFS(Pipeline!H:H,Pipeline!F:F,"Qualified",Pipeline!G:G,"&gt;="&amp;DATE(YEAR(TODAY()),MONTH(TODAY()),1),Pipeline!G:G,"&lt;="&amp;EOMONTH(TODAY(),0))</f>
        <v>0</v>
      </c>
    </row>
    <row r="15" customFormat="false" ht="15.75" hidden="false" customHeight="true" outlineLevel="0" collapsed="false">
      <c r="B15" s="26" t="s">
        <v>10</v>
      </c>
      <c r="C15" s="27" t="n">
        <f aca="false">COUNTIF(Pipeline!F:F,"Proposal")</f>
        <v>2</v>
      </c>
      <c r="D15" s="28" t="n">
        <f aca="false">SUMIF(Pipeline!F:F,"Proposal",Pipeline!H:H)</f>
        <v>97000</v>
      </c>
      <c r="E15" s="28" t="n">
        <f aca="false">SUMIF(Pipeline!F:F,"Proposal",Pipeline!K:K)</f>
        <v>48500</v>
      </c>
      <c r="F15" s="28" t="n">
        <f aca="false">IFERROR(AVERAGEIF(Pipeline!F:F,"Proposal",Pipeline!H:H),0)</f>
        <v>48500</v>
      </c>
      <c r="G15" s="28" t="n">
        <f aca="false">IFERROR(maxifs(Pipeline!H:H,Pipeline!F:F,"Proposal"),0)</f>
        <v>0</v>
      </c>
      <c r="H15" s="28" t="n">
        <f aca="true">SUMIFS(Pipeline!H:H,Pipeline!F:F,"Proposal",Pipeline!G:G,"&gt;="&amp;DATE(YEAR(TODAY()),MONTH(TODAY()),1),Pipeline!G:G,"&lt;="&amp;EOMONTH(TODAY(),0))</f>
        <v>0</v>
      </c>
    </row>
    <row r="16" customFormat="false" ht="15.75" hidden="false" customHeight="true" outlineLevel="0" collapsed="false">
      <c r="B16" s="29" t="s">
        <v>11</v>
      </c>
      <c r="C16" s="30" t="n">
        <f aca="false">COUNTIF(Pipeline!F:F,"Negotiation")</f>
        <v>2</v>
      </c>
      <c r="D16" s="31" t="n">
        <f aca="false">SUMIF(Pipeline!F:F,"Negotiation",Pipeline!H:H)</f>
        <v>98000</v>
      </c>
      <c r="E16" s="31" t="n">
        <f aca="false">SUMIF(Pipeline!F:F,"Negotiation",Pipeline!K:K)</f>
        <v>73500</v>
      </c>
      <c r="F16" s="31" t="n">
        <f aca="false">IFERROR(AVERAGEIF(Pipeline!F:F,"Negotiation",Pipeline!H:H),0)</f>
        <v>49000</v>
      </c>
      <c r="G16" s="31" t="n">
        <f aca="false">IFERROR(maxifs(Pipeline!H:H,Pipeline!F:F,"Negotiation"),0)</f>
        <v>0</v>
      </c>
      <c r="H16" s="31" t="n">
        <f aca="true">SUMIFS(Pipeline!H:H,Pipeline!F:F,"Negotiation",Pipeline!G:G,"&gt;="&amp;DATE(YEAR(TODAY()),MONTH(TODAY()),1),Pipeline!G:G,"&lt;="&amp;EOMONTH(TODAY(),0))</f>
        <v>0</v>
      </c>
    </row>
    <row r="17" customFormat="false" ht="15.75" hidden="false" customHeight="true" outlineLevel="0" collapsed="false">
      <c r="B17" s="32" t="s">
        <v>20</v>
      </c>
      <c r="C17" s="33" t="n">
        <f aca="false">COUNTIF(Pipeline!F:F,"Won")</f>
        <v>1</v>
      </c>
      <c r="D17" s="34" t="n">
        <f aca="false">SUMIF(Pipeline!F:F,"Won",Pipeline!H:H)</f>
        <v>25000</v>
      </c>
      <c r="E17" s="34" t="n">
        <f aca="false">SUMIF(Pipeline!F:F,"Won",Pipeline!K:K)</f>
        <v>25000</v>
      </c>
      <c r="F17" s="34" t="n">
        <f aca="false">IFERROR(AVERAGEIF(Pipeline!F:F,"Won",Pipeline!H:H),0)</f>
        <v>25000</v>
      </c>
      <c r="G17" s="34" t="n">
        <f aca="false">IFERROR(maxifs(Pipeline!H:H,Pipeline!F:F,"Won"),0)</f>
        <v>0</v>
      </c>
      <c r="H17" s="34" t="n">
        <f aca="true">SUMIFS(Pipeline!H:H,Pipeline!F:F,"Won",Pipeline!G:G,"&gt;="&amp;DATE(YEAR(TODAY()),MONTH(TODAY()),1),Pipeline!G:G,"&lt;="&amp;EOMONTH(TODAY(),0))</f>
        <v>0</v>
      </c>
    </row>
    <row r="18" customFormat="false" ht="15.75" hidden="false" customHeight="true" outlineLevel="0" collapsed="false">
      <c r="B18" s="35" t="s">
        <v>21</v>
      </c>
      <c r="C18" s="36" t="n">
        <f aca="false">COUNTIF(Pipeline!F:F,"Lost")</f>
        <v>1</v>
      </c>
      <c r="D18" s="37" t="n">
        <f aca="false">SUMIF(Pipeline!F:F,"Lost",Pipeline!H:H)</f>
        <v>14000</v>
      </c>
      <c r="E18" s="37" t="n">
        <f aca="false">SUMIF(Pipeline!F:F,"Lost",Pipeline!K:K)</f>
        <v>0</v>
      </c>
      <c r="F18" s="37" t="n">
        <f aca="false">IFERROR(AVERAGEIF(Pipeline!F:F,"Lost",Pipeline!H:H),0)</f>
        <v>14000</v>
      </c>
      <c r="G18" s="37" t="n">
        <f aca="false">IFERROR(maxifs(Pipeline!H:H,Pipeline!F:F,"Lost"),0)</f>
        <v>0</v>
      </c>
      <c r="H18" s="37" t="n">
        <f aca="true">SUMIFS(Pipeline!H:H,Pipeline!F:F,"Lost",Pipeline!G:G,"&gt;="&amp;DATE(YEAR(TODAY()),MONTH(TODAY()),1),Pipeline!G:G,"&lt;="&amp;EOMONTH(TODAY(),0))</f>
        <v>0</v>
      </c>
    </row>
    <row r="19" customFormat="false" ht="9.75" hidden="false" customHeight="true" outlineLevel="0" collapsed="false"/>
    <row r="20" customFormat="false" ht="19.5" hidden="false" customHeight="true" outlineLevel="0" collapsed="false">
      <c r="B20" s="38" t="s">
        <v>22</v>
      </c>
      <c r="C20" s="38"/>
      <c r="D20" s="38"/>
      <c r="E20" s="38"/>
      <c r="F20" s="38"/>
      <c r="G20" s="38"/>
      <c r="H20" s="38"/>
    </row>
  </sheetData>
  <mergeCells count="5">
    <mergeCell ref="B2:H2"/>
    <mergeCell ref="B3:H3"/>
    <mergeCell ref="G5:H5"/>
    <mergeCell ref="B11:H11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V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7" min="5" style="1" width="14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4" min="13" style="1" width="14"/>
    <col collapsed="false" customWidth="true" hidden="false" outlineLevel="0" max="15" min="15" style="1" width="24"/>
    <col collapsed="false" customWidth="true" hidden="false" outlineLevel="0" max="16" min="16" style="1" width="12"/>
    <col collapsed="false" customWidth="true" hidden="false" outlineLevel="0" max="17" min="17" style="1" width="30"/>
    <col collapsed="false" customWidth="true" hidden="false" outlineLevel="0" max="18" min="18" style="1" width="13"/>
    <col collapsed="false" customWidth="true" hidden="false" outlineLevel="0" max="20" min="19" style="1" width="0.1"/>
    <col collapsed="false" customWidth="true" hidden="false" outlineLevel="0" max="22" min="22" style="1" width="0.1"/>
  </cols>
  <sheetData>
    <row r="1" customFormat="false" ht="21.75" hidden="false" customHeight="true" outlineLevel="0" collapsed="false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V1" s="40" t="n">
        <f aca="false">SUMPRODUCT((F3:F100&lt;&gt;"Won")*(F3:F100&lt;&gt;"Lost")*(F3:F100&lt;&gt;"")*H3:H100)</f>
        <v>251700</v>
      </c>
    </row>
    <row r="2" customFormat="false" ht="19.5" hidden="false" customHeight="true" outlineLevel="0" collapsed="false">
      <c r="A2" s="41" t="s">
        <v>24</v>
      </c>
      <c r="B2" s="41" t="s">
        <v>25</v>
      </c>
      <c r="C2" s="41" t="s">
        <v>26</v>
      </c>
      <c r="D2" s="41" t="s">
        <v>27</v>
      </c>
      <c r="E2" s="41" t="s">
        <v>28</v>
      </c>
      <c r="F2" s="41" t="s">
        <v>13</v>
      </c>
      <c r="G2" s="41" t="s">
        <v>29</v>
      </c>
      <c r="H2" s="41" t="s">
        <v>30</v>
      </c>
      <c r="I2" s="41" t="s">
        <v>31</v>
      </c>
      <c r="J2" s="41" t="s">
        <v>32</v>
      </c>
      <c r="K2" s="41" t="s">
        <v>33</v>
      </c>
      <c r="L2" s="41" t="s">
        <v>34</v>
      </c>
      <c r="M2" s="41" t="s">
        <v>35</v>
      </c>
      <c r="N2" s="41" t="s">
        <v>36</v>
      </c>
      <c r="O2" s="41" t="s">
        <v>37</v>
      </c>
      <c r="P2" s="41" t="s">
        <v>38</v>
      </c>
      <c r="Q2" s="41" t="s">
        <v>39</v>
      </c>
      <c r="R2" s="41" t="s">
        <v>40</v>
      </c>
      <c r="T2" s="40" t="n">
        <f aca="false">SUMPRODUCT((F3:F100&lt;&gt;"Won")*(F3:F100&lt;&gt;"Lost")*(F3:F100&lt;&gt;"")*H3:H100)</f>
        <v>251700</v>
      </c>
      <c r="V2" s="40"/>
    </row>
    <row r="3" customFormat="false" ht="18" hidden="false" customHeight="true" outlineLevel="0" collapsed="false">
      <c r="A3" s="42" t="str">
        <f aca="false">IF(B3&lt;&gt;"",(ROW()-2)&amp;"","")</f>
        <v>1</v>
      </c>
      <c r="B3" s="43" t="s">
        <v>41</v>
      </c>
      <c r="C3" s="43" t="s">
        <v>42</v>
      </c>
      <c r="D3" s="43" t="s">
        <v>43</v>
      </c>
      <c r="E3" s="43" t="s">
        <v>44</v>
      </c>
      <c r="F3" s="44" t="s">
        <v>9</v>
      </c>
      <c r="G3" s="45" t="s">
        <v>45</v>
      </c>
      <c r="H3" s="46" t="n">
        <v>18000</v>
      </c>
      <c r="I3" s="47" t="n">
        <f aca="false">IFERROR(VLOOKUP(F3,S102:T107,2,FALSE()),0)</f>
        <v>0.25</v>
      </c>
      <c r="J3" s="44" t="s">
        <v>46</v>
      </c>
      <c r="K3" s="48" t="n">
        <f aca="false">H3*I3</f>
        <v>4500</v>
      </c>
      <c r="L3" s="49" t="n">
        <f aca="true">IFERROR(IF(N3&lt;&gt;"",TODAY()-N3,""),"")</f>
        <v>364</v>
      </c>
      <c r="M3" s="44" t="s">
        <v>47</v>
      </c>
      <c r="N3" s="45" t="s">
        <v>48</v>
      </c>
      <c r="O3" s="43" t="s">
        <v>49</v>
      </c>
      <c r="P3" s="44" t="s">
        <v>50</v>
      </c>
      <c r="Q3" s="43" t="s">
        <v>51</v>
      </c>
      <c r="R3" s="49" t="n">
        <f aca="true">IFERROR(IF(G3&lt;&gt;"",G3-TODAY(),""),"")</f>
        <v>-320</v>
      </c>
      <c r="T3" s="40" t="n">
        <f aca="false">SUMIFS(K3:K100,F3:F100,"&lt;&gt;Won",F3:F100,"&lt;&gt;Lost",B3:B100,"&lt;&gt;"&amp;"")</f>
        <v>133670</v>
      </c>
      <c r="V3" s="40" t="n">
        <f aca="false">SUMIF(F3:F100,"Won",H3:H100)</f>
        <v>25000</v>
      </c>
    </row>
    <row r="4" customFormat="false" ht="18" hidden="false" customHeight="true" outlineLevel="0" collapsed="false">
      <c r="A4" s="50" t="str">
        <f aca="false">IF(B4&lt;&gt;"",(ROW()-2)&amp;"","")</f>
        <v>2</v>
      </c>
      <c r="B4" s="51" t="s">
        <v>52</v>
      </c>
      <c r="C4" s="51" t="s">
        <v>53</v>
      </c>
      <c r="D4" s="51" t="s">
        <v>54</v>
      </c>
      <c r="E4" s="51" t="s">
        <v>55</v>
      </c>
      <c r="F4" s="52" t="s">
        <v>8</v>
      </c>
      <c r="G4" s="53" t="s">
        <v>56</v>
      </c>
      <c r="H4" s="54" t="n">
        <v>9500</v>
      </c>
      <c r="I4" s="55" t="n">
        <f aca="false">IFERROR(VLOOKUP(F4,S102:T107,2,FALSE()),0)</f>
        <v>0.1</v>
      </c>
      <c r="J4" s="52" t="s">
        <v>57</v>
      </c>
      <c r="K4" s="56" t="n">
        <f aca="false">H4*I4</f>
        <v>950</v>
      </c>
      <c r="L4" s="57" t="n">
        <f aca="true">IFERROR(IF(N4&lt;&gt;"",TODAY()-N4,""),"")</f>
        <v>368</v>
      </c>
      <c r="M4" s="52" t="s">
        <v>58</v>
      </c>
      <c r="N4" s="53" t="s">
        <v>59</v>
      </c>
      <c r="O4" s="51" t="s">
        <v>60</v>
      </c>
      <c r="P4" s="52" t="s">
        <v>61</v>
      </c>
      <c r="Q4" s="51" t="s">
        <v>62</v>
      </c>
      <c r="R4" s="57" t="n">
        <f aca="true">IFERROR(IF(G4&lt;&gt;"",G4-TODAY(),""),"")</f>
        <v>-303</v>
      </c>
      <c r="T4" s="40" t="n">
        <f aca="false">SUMIF(F3:F100,"Won",H3:H100)</f>
        <v>25000</v>
      </c>
      <c r="V4" s="58" t="n">
        <f aca="false">IFERROR(COUNTIF(F3:F100,"Won")/(COUNTIF(F3:F100,"Won")+COUNTIF(F3:F100,"Lost")),0)</f>
        <v>0.5</v>
      </c>
    </row>
    <row r="5" customFormat="false" ht="18" hidden="false" customHeight="true" outlineLevel="0" collapsed="false">
      <c r="A5" s="42" t="str">
        <f aca="false">IF(B5&lt;&gt;"",(ROW()-2)&amp;"","")</f>
        <v>3</v>
      </c>
      <c r="B5" s="43" t="s">
        <v>63</v>
      </c>
      <c r="C5" s="43" t="s">
        <v>64</v>
      </c>
      <c r="D5" s="43" t="s">
        <v>65</v>
      </c>
      <c r="E5" s="43" t="s">
        <v>66</v>
      </c>
      <c r="F5" s="44" t="s">
        <v>10</v>
      </c>
      <c r="G5" s="45" t="s">
        <v>67</v>
      </c>
      <c r="H5" s="46" t="n">
        <v>42000</v>
      </c>
      <c r="I5" s="47" t="n">
        <f aca="false">IFERROR(VLOOKUP(F5,S102:T107,2,FALSE()),0)</f>
        <v>0.5</v>
      </c>
      <c r="J5" s="44" t="s">
        <v>68</v>
      </c>
      <c r="K5" s="48" t="n">
        <f aca="false">H5*I5</f>
        <v>21000</v>
      </c>
      <c r="L5" s="49" t="n">
        <f aca="true">IFERROR(IF(N5&lt;&gt;"",TODAY()-N5,""),"")</f>
        <v>366</v>
      </c>
      <c r="M5" s="44" t="s">
        <v>47</v>
      </c>
      <c r="N5" s="45" t="s">
        <v>69</v>
      </c>
      <c r="O5" s="43" t="s">
        <v>70</v>
      </c>
      <c r="P5" s="44" t="s">
        <v>50</v>
      </c>
      <c r="Q5" s="43" t="s">
        <v>71</v>
      </c>
      <c r="R5" s="49" t="n">
        <f aca="true">IFERROR(IF(G5&lt;&gt;"",G5-TODAY(),""),"")</f>
        <v>-335</v>
      </c>
      <c r="T5" s="58" t="n">
        <f aca="false">IFERROR(COUNTIF(F3:F100,"Won")/(COUNTIF(F3:F100,"Won")+COUNTIF(F3:F100,"Lost")),0)</f>
        <v>0.5</v>
      </c>
      <c r="V5" s="40" t="n">
        <f aca="false">IFERROR(AVERAGEIF(H3:H100,"&gt;"&amp;0,H3:H100),0)</f>
        <v>29070</v>
      </c>
    </row>
    <row r="6" customFormat="false" ht="18" hidden="false" customHeight="true" outlineLevel="0" collapsed="false">
      <c r="A6" s="50" t="str">
        <f aca="false">IF(B6&lt;&gt;"",(ROW()-2)&amp;"","")</f>
        <v>4</v>
      </c>
      <c r="B6" s="51" t="s">
        <v>72</v>
      </c>
      <c r="C6" s="51" t="s">
        <v>73</v>
      </c>
      <c r="D6" s="51" t="s">
        <v>74</v>
      </c>
      <c r="E6" s="51" t="s">
        <v>75</v>
      </c>
      <c r="F6" s="52" t="s">
        <v>11</v>
      </c>
      <c r="G6" s="53" t="s">
        <v>76</v>
      </c>
      <c r="H6" s="54" t="n">
        <v>31000</v>
      </c>
      <c r="I6" s="55" t="n">
        <f aca="false">IFERROR(VLOOKUP(F6,S102:T107,2,FALSE()),0)</f>
        <v>0.75</v>
      </c>
      <c r="J6" s="52" t="s">
        <v>77</v>
      </c>
      <c r="K6" s="56" t="n">
        <f aca="false">H6*I6</f>
        <v>23250</v>
      </c>
      <c r="L6" s="57" t="n">
        <f aca="true">IFERROR(IF(N6&lt;&gt;"",TODAY()-N6,""),"")</f>
        <v>367</v>
      </c>
      <c r="M6" s="52" t="s">
        <v>58</v>
      </c>
      <c r="N6" s="53" t="s">
        <v>78</v>
      </c>
      <c r="O6" s="51" t="s">
        <v>79</v>
      </c>
      <c r="P6" s="52" t="s">
        <v>50</v>
      </c>
      <c r="Q6" s="51" t="s">
        <v>80</v>
      </c>
      <c r="R6" s="57" t="n">
        <f aca="true">IFERROR(IF(G6&lt;&gt;"",G6-TODAY(),""),"")</f>
        <v>-345</v>
      </c>
      <c r="T6" s="40" t="n">
        <f aca="false">IFERROR(AVERAGEIF(H3:H100,"&gt;"&amp;0,H3:H100),0)</f>
        <v>29070</v>
      </c>
      <c r="V6" s="40" t="n">
        <f aca="false">SUMIF(F3:F100,"Prospect",H3:H100)</f>
        <v>16700</v>
      </c>
    </row>
    <row r="7" customFormat="false" ht="18" hidden="false" customHeight="true" outlineLevel="0" collapsed="false">
      <c r="A7" s="42" t="str">
        <f aca="false">IF(B7&lt;&gt;"",(ROW()-2)&amp;"","")</f>
        <v>5</v>
      </c>
      <c r="B7" s="43" t="s">
        <v>81</v>
      </c>
      <c r="C7" s="43" t="s">
        <v>82</v>
      </c>
      <c r="D7" s="43" t="s">
        <v>83</v>
      </c>
      <c r="E7" s="43" t="s">
        <v>84</v>
      </c>
      <c r="F7" s="44" t="s">
        <v>20</v>
      </c>
      <c r="G7" s="45" t="s">
        <v>85</v>
      </c>
      <c r="H7" s="46" t="n">
        <v>25000</v>
      </c>
      <c r="I7" s="47" t="n">
        <f aca="false">IFERROR(VLOOKUP(F7,S102:T107,2,FALSE()),0)</f>
        <v>1</v>
      </c>
      <c r="J7" s="44" t="s">
        <v>86</v>
      </c>
      <c r="K7" s="48" t="n">
        <f aca="false">H7*I7</f>
        <v>25000</v>
      </c>
      <c r="L7" s="49" t="n">
        <f aca="true">IFERROR(IF(N7&lt;&gt;"",TODAY()-N7,""),"")</f>
        <v>381</v>
      </c>
      <c r="M7" s="44" t="s">
        <v>47</v>
      </c>
      <c r="N7" s="45" t="s">
        <v>85</v>
      </c>
      <c r="O7" s="43" t="s">
        <v>87</v>
      </c>
      <c r="P7" s="44" t="s">
        <v>88</v>
      </c>
      <c r="Q7" s="43" t="s">
        <v>89</v>
      </c>
      <c r="R7" s="49" t="n">
        <f aca="true">IFERROR(IF(G7&lt;&gt;"",G7-TODAY(),""),"")</f>
        <v>-381</v>
      </c>
      <c r="V7" s="40" t="n">
        <f aca="false">SUMIF(F3:F100,"Qualified",H3:H100)</f>
        <v>40000</v>
      </c>
    </row>
    <row r="8" customFormat="false" ht="18" hidden="false" customHeight="true" outlineLevel="0" collapsed="false">
      <c r="A8" s="50" t="str">
        <f aca="false">IF(B8&lt;&gt;"",(ROW()-2)&amp;"","")</f>
        <v>6</v>
      </c>
      <c r="B8" s="51" t="s">
        <v>90</v>
      </c>
      <c r="C8" s="51" t="s">
        <v>91</v>
      </c>
      <c r="D8" s="51" t="s">
        <v>92</v>
      </c>
      <c r="E8" s="51" t="s">
        <v>93</v>
      </c>
      <c r="F8" s="52" t="s">
        <v>21</v>
      </c>
      <c r="G8" s="53" t="s">
        <v>94</v>
      </c>
      <c r="H8" s="54" t="n">
        <v>14000</v>
      </c>
      <c r="I8" s="55" t="n">
        <f aca="false">IFERROR(VLOOKUP(F8,S102:T107,2,FALSE()),0)</f>
        <v>0</v>
      </c>
      <c r="J8" s="52" t="s">
        <v>95</v>
      </c>
      <c r="K8" s="56" t="n">
        <f aca="false">H8*I8</f>
        <v>0</v>
      </c>
      <c r="L8" s="57" t="n">
        <f aca="true">IFERROR(IF(N8&lt;&gt;"",TODAY()-N8,""),"")</f>
        <v>396</v>
      </c>
      <c r="M8" s="52" t="s">
        <v>58</v>
      </c>
      <c r="N8" s="53" t="s">
        <v>94</v>
      </c>
      <c r="O8" s="51" t="s">
        <v>96</v>
      </c>
      <c r="P8" s="52" t="s">
        <v>88</v>
      </c>
      <c r="Q8" s="51" t="s">
        <v>97</v>
      </c>
      <c r="R8" s="57" t="n">
        <f aca="true">IFERROR(IF(G8&lt;&gt;"",G8-TODAY(),""),"")</f>
        <v>-396</v>
      </c>
      <c r="T8" s="40" t="n">
        <f aca="false">SUMIF(F3:F100,"Prospect",H3:H100)</f>
        <v>16700</v>
      </c>
      <c r="V8" s="40" t="n">
        <f aca="false">SUMIF(F3:F100,"Proposal",H3:H100)</f>
        <v>97000</v>
      </c>
    </row>
    <row r="9" customFormat="false" ht="18" hidden="false" customHeight="true" outlineLevel="0" collapsed="false">
      <c r="A9" s="42" t="str">
        <f aca="false">IF(B9&lt;&gt;"",(ROW()-2)&amp;"","")</f>
        <v>7</v>
      </c>
      <c r="B9" s="43" t="s">
        <v>98</v>
      </c>
      <c r="C9" s="43" t="s">
        <v>99</v>
      </c>
      <c r="D9" s="43" t="s">
        <v>100</v>
      </c>
      <c r="E9" s="43" t="s">
        <v>101</v>
      </c>
      <c r="F9" s="44" t="s">
        <v>9</v>
      </c>
      <c r="G9" s="45" t="s">
        <v>102</v>
      </c>
      <c r="H9" s="46" t="n">
        <v>22000</v>
      </c>
      <c r="I9" s="47" t="n">
        <f aca="false">IFERROR(VLOOKUP(F9,S102:T107,2,FALSE()),0)</f>
        <v>0.25</v>
      </c>
      <c r="J9" s="44" t="s">
        <v>46</v>
      </c>
      <c r="K9" s="48" t="n">
        <f aca="false">H9*I9</f>
        <v>5500</v>
      </c>
      <c r="L9" s="49" t="n">
        <f aca="true">IFERROR(IF(N9&lt;&gt;"",TODAY()-N9,""),"")</f>
        <v>369</v>
      </c>
      <c r="M9" s="44" t="s">
        <v>47</v>
      </c>
      <c r="N9" s="45" t="s">
        <v>103</v>
      </c>
      <c r="O9" s="43" t="s">
        <v>104</v>
      </c>
      <c r="P9" s="44" t="s">
        <v>61</v>
      </c>
      <c r="Q9" s="43" t="s">
        <v>105</v>
      </c>
      <c r="R9" s="49" t="n">
        <f aca="true">IFERROR(IF(G9&lt;&gt;"",G9-TODAY(),""),"")</f>
        <v>-315</v>
      </c>
      <c r="T9" s="40" t="n">
        <f aca="false">SUMIF(F3:F100,"Qualified",H3:H100)</f>
        <v>40000</v>
      </c>
      <c r="V9" s="40" t="n">
        <f aca="false">SUMIF(F3:F100,"Negotiation",H3:H100)</f>
        <v>98000</v>
      </c>
    </row>
    <row r="10" customFormat="false" ht="18" hidden="false" customHeight="true" outlineLevel="0" collapsed="false">
      <c r="A10" s="50" t="str">
        <f aca="false">IF(B10&lt;&gt;"",(ROW()-2)&amp;"","")</f>
        <v>8</v>
      </c>
      <c r="B10" s="51" t="s">
        <v>106</v>
      </c>
      <c r="C10" s="51" t="s">
        <v>107</v>
      </c>
      <c r="D10" s="51" t="s">
        <v>108</v>
      </c>
      <c r="E10" s="51" t="s">
        <v>109</v>
      </c>
      <c r="F10" s="52" t="s">
        <v>10</v>
      </c>
      <c r="G10" s="53" t="s">
        <v>110</v>
      </c>
      <c r="H10" s="54" t="n">
        <v>55000</v>
      </c>
      <c r="I10" s="55" t="n">
        <f aca="false">IFERROR(VLOOKUP(F10,S102:T107,2,FALSE()),0)</f>
        <v>0.5</v>
      </c>
      <c r="J10" s="52" t="s">
        <v>68</v>
      </c>
      <c r="K10" s="56" t="n">
        <f aca="false">H10*I10</f>
        <v>27500</v>
      </c>
      <c r="L10" s="57" t="n">
        <f aca="true">IFERROR(IF(N10&lt;&gt;"",TODAY()-N10,""),"")</f>
        <v>370</v>
      </c>
      <c r="M10" s="52" t="s">
        <v>58</v>
      </c>
      <c r="N10" s="53" t="s">
        <v>111</v>
      </c>
      <c r="O10" s="51" t="s">
        <v>112</v>
      </c>
      <c r="P10" s="52" t="s">
        <v>50</v>
      </c>
      <c r="Q10" s="51" t="s">
        <v>113</v>
      </c>
      <c r="R10" s="57" t="n">
        <f aca="true">IFERROR(IF(G10&lt;&gt;"",G10-TODAY(),""),"")</f>
        <v>-330</v>
      </c>
      <c r="T10" s="40" t="n">
        <f aca="false">SUMIF(F3:F100,"Proposal",H3:H100)</f>
        <v>97000</v>
      </c>
    </row>
    <row r="11" customFormat="false" ht="18" hidden="false" customHeight="true" outlineLevel="0" collapsed="false">
      <c r="A11" s="42" t="str">
        <f aca="false">IF(B11&lt;&gt;"",(ROW()-2)&amp;"","")</f>
        <v>9</v>
      </c>
      <c r="B11" s="43" t="s">
        <v>114</v>
      </c>
      <c r="C11" s="43" t="s">
        <v>115</v>
      </c>
      <c r="D11" s="43" t="s">
        <v>116</v>
      </c>
      <c r="E11" s="43" t="s">
        <v>117</v>
      </c>
      <c r="F11" s="44" t="s">
        <v>8</v>
      </c>
      <c r="G11" s="45" t="s">
        <v>118</v>
      </c>
      <c r="H11" s="46" t="n">
        <v>7200</v>
      </c>
      <c r="I11" s="47" t="n">
        <f aca="false">IFERROR(VLOOKUP(F11,S102:T107,2,FALSE()),0)</f>
        <v>0.1</v>
      </c>
      <c r="J11" s="44" t="s">
        <v>119</v>
      </c>
      <c r="K11" s="48" t="n">
        <f aca="false">H11*I11</f>
        <v>720</v>
      </c>
      <c r="L11" s="49" t="n">
        <f aca="true">IFERROR(IF(N11&lt;&gt;"",TODAY()-N11,""),"")</f>
        <v>371</v>
      </c>
      <c r="M11" s="44" t="s">
        <v>47</v>
      </c>
      <c r="N11" s="45" t="s">
        <v>120</v>
      </c>
      <c r="O11" s="43" t="s">
        <v>121</v>
      </c>
      <c r="P11" s="44" t="s">
        <v>88</v>
      </c>
      <c r="Q11" s="43" t="s">
        <v>122</v>
      </c>
      <c r="R11" s="49" t="n">
        <f aca="true">IFERROR(IF(G11&lt;&gt;"",G11-TODAY(),""),"")</f>
        <v>-289</v>
      </c>
      <c r="T11" s="40" t="n">
        <f aca="false">SUMIF(F3:F100,"Negotiation",H3:H100)</f>
        <v>98000</v>
      </c>
    </row>
    <row r="12" customFormat="false" ht="18" hidden="false" customHeight="true" outlineLevel="0" collapsed="false">
      <c r="A12" s="50" t="str">
        <f aca="false">IF(B12&lt;&gt;"",(ROW()-2)&amp;"","")</f>
        <v>10</v>
      </c>
      <c r="B12" s="51" t="s">
        <v>123</v>
      </c>
      <c r="C12" s="51" t="s">
        <v>124</v>
      </c>
      <c r="D12" s="51" t="s">
        <v>125</v>
      </c>
      <c r="E12" s="51" t="s">
        <v>126</v>
      </c>
      <c r="F12" s="52" t="s">
        <v>11</v>
      </c>
      <c r="G12" s="53" t="s">
        <v>127</v>
      </c>
      <c r="H12" s="54" t="n">
        <v>67000</v>
      </c>
      <c r="I12" s="55" t="n">
        <f aca="false">IFERROR(VLOOKUP(F12,S102:T107,2,FALSE()),0)</f>
        <v>0.75</v>
      </c>
      <c r="J12" s="52" t="s">
        <v>46</v>
      </c>
      <c r="K12" s="56" t="n">
        <f aca="false">H12*I12</f>
        <v>50250</v>
      </c>
      <c r="L12" s="57" t="n">
        <f aca="true">IFERROR(IF(N12&lt;&gt;"",TODAY()-N12,""),"")</f>
        <v>368</v>
      </c>
      <c r="M12" s="52" t="s">
        <v>58</v>
      </c>
      <c r="N12" s="53" t="s">
        <v>59</v>
      </c>
      <c r="O12" s="51" t="s">
        <v>128</v>
      </c>
      <c r="P12" s="52" t="s">
        <v>50</v>
      </c>
      <c r="Q12" s="51" t="s">
        <v>129</v>
      </c>
      <c r="R12" s="57" t="n">
        <f aca="true">IFERROR(IF(G12&lt;&gt;"",G12-TODAY(),""),"")</f>
        <v>-355</v>
      </c>
    </row>
    <row r="13" customFormat="false" ht="18" hidden="false" customHeight="true" outlineLevel="0" collapsed="false">
      <c r="A13" s="42" t="str">
        <f aca="false">IF(B13&lt;&gt;"",(ROW()-2)&amp;"","")</f>
        <v/>
      </c>
      <c r="B13" s="59"/>
      <c r="C13" s="59"/>
      <c r="D13" s="59"/>
      <c r="E13" s="59"/>
      <c r="F13" s="59"/>
      <c r="G13" s="59"/>
      <c r="H13" s="59"/>
      <c r="I13" s="55" t="n">
        <f aca="false">IFERROR(VLOOKUP(F13,S102:T107,2,FALSE()),0)</f>
        <v>0</v>
      </c>
      <c r="J13" s="59"/>
      <c r="K13" s="56" t="str">
        <f aca="false">IF(H13&gt;0,H13*I13,"")</f>
        <v/>
      </c>
      <c r="L13" s="57" t="str">
        <f aca="true">IFERROR(IF(N13&lt;&gt;"",TODAY()-N13,""),"")</f>
        <v/>
      </c>
      <c r="M13" s="59"/>
      <c r="N13" s="59"/>
      <c r="O13" s="59"/>
      <c r="P13" s="59"/>
      <c r="Q13" s="59"/>
      <c r="R13" s="57" t="str">
        <f aca="true">IFERROR(IF(G13&lt;&gt;"",G13-TODAY(),""),"")</f>
        <v/>
      </c>
    </row>
    <row r="14" customFormat="false" ht="18" hidden="false" customHeight="true" outlineLevel="0" collapsed="false">
      <c r="A14" s="50" t="str">
        <f aca="false">IF(B14&lt;&gt;"",(ROW()-2)&amp;"","")</f>
        <v/>
      </c>
      <c r="B14" s="60"/>
      <c r="C14" s="60"/>
      <c r="D14" s="60"/>
      <c r="E14" s="60"/>
      <c r="F14" s="60"/>
      <c r="G14" s="60"/>
      <c r="H14" s="60"/>
      <c r="I14" s="47" t="n">
        <f aca="false">IFERROR(VLOOKUP(F14,S102:T107,2,FALSE()),0)</f>
        <v>0</v>
      </c>
      <c r="J14" s="60"/>
      <c r="K14" s="48" t="str">
        <f aca="false">IF(H14&gt;0,H14*I14,"")</f>
        <v/>
      </c>
      <c r="L14" s="49" t="str">
        <f aca="true">IFERROR(IF(N14&lt;&gt;"",TODAY()-N14,""),"")</f>
        <v/>
      </c>
      <c r="M14" s="60"/>
      <c r="N14" s="60"/>
      <c r="O14" s="60"/>
      <c r="P14" s="60"/>
      <c r="Q14" s="60"/>
      <c r="R14" s="49" t="str">
        <f aca="true">IFERROR(IF(G14&lt;&gt;"",G14-TODAY(),""),"")</f>
        <v/>
      </c>
    </row>
    <row r="15" customFormat="false" ht="18" hidden="false" customHeight="true" outlineLevel="0" collapsed="false">
      <c r="A15" s="42" t="str">
        <f aca="false">IF(B15&lt;&gt;"",(ROW()-2)&amp;"","")</f>
        <v/>
      </c>
      <c r="B15" s="59"/>
      <c r="C15" s="59"/>
      <c r="D15" s="59"/>
      <c r="E15" s="59"/>
      <c r="F15" s="59"/>
      <c r="G15" s="59"/>
      <c r="H15" s="59"/>
      <c r="I15" s="55" t="n">
        <f aca="false">IFERROR(VLOOKUP(F15,S102:T107,2,FALSE()),0)</f>
        <v>0</v>
      </c>
      <c r="J15" s="59"/>
      <c r="K15" s="56" t="str">
        <f aca="false">IF(H15&gt;0,H15*I15,"")</f>
        <v/>
      </c>
      <c r="L15" s="57" t="str">
        <f aca="true">IFERROR(IF(N15&lt;&gt;"",TODAY()-N15,""),"")</f>
        <v/>
      </c>
      <c r="M15" s="59"/>
      <c r="N15" s="59"/>
      <c r="O15" s="59"/>
      <c r="P15" s="59"/>
      <c r="Q15" s="59"/>
      <c r="R15" s="57" t="str">
        <f aca="true">IFERROR(IF(G15&lt;&gt;"",G15-TODAY(),""),"")</f>
        <v/>
      </c>
    </row>
    <row r="16" customFormat="false" ht="18" hidden="false" customHeight="true" outlineLevel="0" collapsed="false">
      <c r="A16" s="50" t="str">
        <f aca="false">IF(B16&lt;&gt;"",(ROW()-2)&amp;"","")</f>
        <v/>
      </c>
      <c r="B16" s="60"/>
      <c r="C16" s="60"/>
      <c r="D16" s="60"/>
      <c r="E16" s="60"/>
      <c r="F16" s="60"/>
      <c r="G16" s="60"/>
      <c r="H16" s="60"/>
      <c r="I16" s="47" t="n">
        <f aca="false">IFERROR(VLOOKUP(F16,S102:T107,2,FALSE()),0)</f>
        <v>0</v>
      </c>
      <c r="J16" s="60"/>
      <c r="K16" s="48" t="str">
        <f aca="false">IF(H16&gt;0,H16*I16,"")</f>
        <v/>
      </c>
      <c r="L16" s="49" t="str">
        <f aca="true">IFERROR(IF(N16&lt;&gt;"",TODAY()-N16,""),"")</f>
        <v/>
      </c>
      <c r="M16" s="60"/>
      <c r="N16" s="60"/>
      <c r="O16" s="60"/>
      <c r="P16" s="60"/>
      <c r="Q16" s="60"/>
      <c r="R16" s="49" t="str">
        <f aca="true">IFERROR(IF(G16&lt;&gt;"",G16-TODAY(),""),"")</f>
        <v/>
      </c>
    </row>
    <row r="17" customFormat="false" ht="18" hidden="false" customHeight="true" outlineLevel="0" collapsed="false">
      <c r="A17" s="42" t="str">
        <f aca="false">IF(B17&lt;&gt;"",(ROW()-2)&amp;"","")</f>
        <v/>
      </c>
      <c r="B17" s="59"/>
      <c r="C17" s="59"/>
      <c r="D17" s="59"/>
      <c r="E17" s="59"/>
      <c r="F17" s="59"/>
      <c r="G17" s="59"/>
      <c r="H17" s="59"/>
      <c r="I17" s="55" t="n">
        <f aca="false">IFERROR(VLOOKUP(F17,S102:T107,2,FALSE()),0)</f>
        <v>0</v>
      </c>
      <c r="J17" s="59"/>
      <c r="K17" s="56" t="str">
        <f aca="false">IF(H17&gt;0,H17*I17,"")</f>
        <v/>
      </c>
      <c r="L17" s="57" t="str">
        <f aca="true">IFERROR(IF(N17&lt;&gt;"",TODAY()-N17,""),"")</f>
        <v/>
      </c>
      <c r="M17" s="59"/>
      <c r="N17" s="59"/>
      <c r="O17" s="59"/>
      <c r="P17" s="59"/>
      <c r="Q17" s="59"/>
      <c r="R17" s="57" t="str">
        <f aca="true">IFERROR(IF(G17&lt;&gt;"",G17-TODAY(),""),"")</f>
        <v/>
      </c>
    </row>
    <row r="18" customFormat="false" ht="18" hidden="false" customHeight="true" outlineLevel="0" collapsed="false">
      <c r="A18" s="50" t="str">
        <f aca="false">IF(B18&lt;&gt;"",(ROW()-2)&amp;"","")</f>
        <v/>
      </c>
      <c r="B18" s="60"/>
      <c r="C18" s="60"/>
      <c r="D18" s="60"/>
      <c r="E18" s="60"/>
      <c r="F18" s="60"/>
      <c r="G18" s="60"/>
      <c r="H18" s="60"/>
      <c r="I18" s="47" t="n">
        <f aca="false">IFERROR(VLOOKUP(F18,S102:T107,2,FALSE()),0)</f>
        <v>0</v>
      </c>
      <c r="J18" s="60"/>
      <c r="K18" s="48" t="str">
        <f aca="false">IF(H18&gt;0,H18*I18,"")</f>
        <v/>
      </c>
      <c r="L18" s="49" t="str">
        <f aca="true">IFERROR(IF(N18&lt;&gt;"",TODAY()-N18,""),"")</f>
        <v/>
      </c>
      <c r="M18" s="60"/>
      <c r="N18" s="60"/>
      <c r="O18" s="60"/>
      <c r="P18" s="60"/>
      <c r="Q18" s="60"/>
      <c r="R18" s="49" t="str">
        <f aca="true">IFERROR(IF(G18&lt;&gt;"",G18-TODAY(),""),"")</f>
        <v/>
      </c>
    </row>
    <row r="19" customFormat="false" ht="18" hidden="false" customHeight="true" outlineLevel="0" collapsed="false">
      <c r="A19" s="42" t="str">
        <f aca="false">IF(B19&lt;&gt;"",(ROW()-2)&amp;"","")</f>
        <v/>
      </c>
      <c r="B19" s="59"/>
      <c r="C19" s="59"/>
      <c r="D19" s="59"/>
      <c r="E19" s="59"/>
      <c r="F19" s="59"/>
      <c r="G19" s="59"/>
      <c r="H19" s="59"/>
      <c r="I19" s="55" t="n">
        <f aca="false">IFERROR(VLOOKUP(F19,S102:T107,2,FALSE()),0)</f>
        <v>0</v>
      </c>
      <c r="J19" s="59"/>
      <c r="K19" s="56" t="str">
        <f aca="false">IF(H19&gt;0,H19*I19,"")</f>
        <v/>
      </c>
      <c r="L19" s="57" t="str">
        <f aca="true">IFERROR(IF(N19&lt;&gt;"",TODAY()-N19,""),"")</f>
        <v/>
      </c>
      <c r="M19" s="59"/>
      <c r="N19" s="59"/>
      <c r="O19" s="59"/>
      <c r="P19" s="59"/>
      <c r="Q19" s="59"/>
      <c r="R19" s="57" t="str">
        <f aca="true">IFERROR(IF(G19&lt;&gt;"",G19-TODAY(),""),"")</f>
        <v/>
      </c>
    </row>
    <row r="20" customFormat="false" ht="18" hidden="false" customHeight="true" outlineLevel="0" collapsed="false">
      <c r="A20" s="50" t="str">
        <f aca="false">IF(B20&lt;&gt;"",(ROW()-2)&amp;"","")</f>
        <v/>
      </c>
      <c r="B20" s="60"/>
      <c r="C20" s="60"/>
      <c r="D20" s="60"/>
      <c r="E20" s="60"/>
      <c r="F20" s="60"/>
      <c r="G20" s="60"/>
      <c r="H20" s="60"/>
      <c r="I20" s="47" t="n">
        <f aca="false">IFERROR(VLOOKUP(F20,S102:T107,2,FALSE()),0)</f>
        <v>0</v>
      </c>
      <c r="J20" s="60"/>
      <c r="K20" s="48" t="str">
        <f aca="false">IF(H20&gt;0,H20*I20,"")</f>
        <v/>
      </c>
      <c r="L20" s="49" t="str">
        <f aca="true">IFERROR(IF(N20&lt;&gt;"",TODAY()-N20,""),"")</f>
        <v/>
      </c>
      <c r="M20" s="60"/>
      <c r="N20" s="60"/>
      <c r="O20" s="60"/>
      <c r="P20" s="60"/>
      <c r="Q20" s="60"/>
      <c r="R20" s="49" t="str">
        <f aca="true">IFERROR(IF(G20&lt;&gt;"",G20-TODAY(),""),"")</f>
        <v/>
      </c>
    </row>
    <row r="21" customFormat="false" ht="18" hidden="false" customHeight="true" outlineLevel="0" collapsed="false">
      <c r="A21" s="42" t="str">
        <f aca="false">IF(B21&lt;&gt;"",(ROW()-2)&amp;"","")</f>
        <v/>
      </c>
      <c r="B21" s="59"/>
      <c r="C21" s="59"/>
      <c r="D21" s="59"/>
      <c r="E21" s="59"/>
      <c r="F21" s="59"/>
      <c r="G21" s="59"/>
      <c r="H21" s="59"/>
      <c r="I21" s="55" t="n">
        <f aca="false">IFERROR(VLOOKUP(F21,S102:T107,2,FALSE()),0)</f>
        <v>0</v>
      </c>
      <c r="J21" s="59"/>
      <c r="K21" s="56" t="str">
        <f aca="false">IF(H21&gt;0,H21*I21,"")</f>
        <v/>
      </c>
      <c r="L21" s="57" t="str">
        <f aca="true">IFERROR(IF(N21&lt;&gt;"",TODAY()-N21,""),"")</f>
        <v/>
      </c>
      <c r="M21" s="59"/>
      <c r="N21" s="59"/>
      <c r="O21" s="59"/>
      <c r="P21" s="59"/>
      <c r="Q21" s="59"/>
      <c r="R21" s="57" t="str">
        <f aca="true">IFERROR(IF(G21&lt;&gt;"",G21-TODAY(),""),"")</f>
        <v/>
      </c>
    </row>
    <row r="22" customFormat="false" ht="18" hidden="false" customHeight="true" outlineLevel="0" collapsed="false">
      <c r="A22" s="50" t="str">
        <f aca="false">IF(B22&lt;&gt;"",(ROW()-2)&amp;"","")</f>
        <v/>
      </c>
      <c r="B22" s="60"/>
      <c r="C22" s="60"/>
      <c r="D22" s="60"/>
      <c r="E22" s="60"/>
      <c r="F22" s="60"/>
      <c r="G22" s="60"/>
      <c r="H22" s="60"/>
      <c r="I22" s="47" t="n">
        <f aca="false">IFERROR(VLOOKUP(F22,S102:T107,2,FALSE()),0)</f>
        <v>0</v>
      </c>
      <c r="J22" s="60"/>
      <c r="K22" s="48" t="str">
        <f aca="false">IF(H22&gt;0,H22*I22,"")</f>
        <v/>
      </c>
      <c r="L22" s="49" t="str">
        <f aca="true">IFERROR(IF(N22&lt;&gt;"",TODAY()-N22,""),"")</f>
        <v/>
      </c>
      <c r="M22" s="60"/>
      <c r="N22" s="60"/>
      <c r="O22" s="60"/>
      <c r="P22" s="60"/>
      <c r="Q22" s="60"/>
      <c r="R22" s="49" t="str">
        <f aca="true">IFERROR(IF(G22&lt;&gt;"",G22-TODAY(),""),"")</f>
        <v/>
      </c>
    </row>
    <row r="23" customFormat="false" ht="18" hidden="false" customHeight="true" outlineLevel="0" collapsed="false">
      <c r="A23" s="42" t="str">
        <f aca="false">IF(B23&lt;&gt;"",(ROW()-2)&amp;"","")</f>
        <v/>
      </c>
      <c r="B23" s="59"/>
      <c r="C23" s="59"/>
      <c r="D23" s="59"/>
      <c r="E23" s="59"/>
      <c r="F23" s="59"/>
      <c r="G23" s="59"/>
      <c r="H23" s="59"/>
      <c r="I23" s="55" t="n">
        <f aca="false">IFERROR(VLOOKUP(F23,S102:T107,2,FALSE()),0)</f>
        <v>0</v>
      </c>
      <c r="J23" s="59"/>
      <c r="K23" s="56" t="str">
        <f aca="false">IF(H23&gt;0,H23*I23,"")</f>
        <v/>
      </c>
      <c r="L23" s="57" t="str">
        <f aca="true">IFERROR(IF(N23&lt;&gt;"",TODAY()-N23,""),"")</f>
        <v/>
      </c>
      <c r="M23" s="59"/>
      <c r="N23" s="59"/>
      <c r="O23" s="59"/>
      <c r="P23" s="59"/>
      <c r="Q23" s="59"/>
      <c r="R23" s="57" t="str">
        <f aca="true">IFERROR(IF(G23&lt;&gt;"",G23-TODAY(),""),"")</f>
        <v/>
      </c>
    </row>
    <row r="24" customFormat="false" ht="18" hidden="false" customHeight="true" outlineLevel="0" collapsed="false">
      <c r="A24" s="50" t="str">
        <f aca="false">IF(B24&lt;&gt;"",(ROW()-2)&amp;"","")</f>
        <v/>
      </c>
      <c r="B24" s="60"/>
      <c r="C24" s="60"/>
      <c r="D24" s="60"/>
      <c r="E24" s="60"/>
      <c r="F24" s="60"/>
      <c r="G24" s="60"/>
      <c r="H24" s="60"/>
      <c r="I24" s="47" t="n">
        <f aca="false">IFERROR(VLOOKUP(F24,S102:T107,2,FALSE()),0)</f>
        <v>0</v>
      </c>
      <c r="J24" s="60"/>
      <c r="K24" s="48" t="str">
        <f aca="false">IF(H24&gt;0,H24*I24,"")</f>
        <v/>
      </c>
      <c r="L24" s="49" t="str">
        <f aca="true">IFERROR(IF(N24&lt;&gt;"",TODAY()-N24,""),"")</f>
        <v/>
      </c>
      <c r="M24" s="60"/>
      <c r="N24" s="60"/>
      <c r="O24" s="60"/>
      <c r="P24" s="60"/>
      <c r="Q24" s="60"/>
      <c r="R24" s="49" t="str">
        <f aca="true">IFERROR(IF(G24&lt;&gt;"",G24-TODAY(),""),"")</f>
        <v/>
      </c>
    </row>
    <row r="25" customFormat="false" ht="18" hidden="false" customHeight="true" outlineLevel="0" collapsed="false">
      <c r="A25" s="42" t="str">
        <f aca="false">IF(B25&lt;&gt;"",(ROW()-2)&amp;"","")</f>
        <v/>
      </c>
      <c r="B25" s="59"/>
      <c r="C25" s="59"/>
      <c r="D25" s="59"/>
      <c r="E25" s="59"/>
      <c r="F25" s="59"/>
      <c r="G25" s="59"/>
      <c r="H25" s="59"/>
      <c r="I25" s="55" t="n">
        <f aca="false">IFERROR(VLOOKUP(F25,S102:T107,2,FALSE()),0)</f>
        <v>0</v>
      </c>
      <c r="J25" s="59"/>
      <c r="K25" s="56" t="str">
        <f aca="false">IF(H25&gt;0,H25*I25,"")</f>
        <v/>
      </c>
      <c r="L25" s="57" t="str">
        <f aca="true">IFERROR(IF(N25&lt;&gt;"",TODAY()-N25,""),"")</f>
        <v/>
      </c>
      <c r="M25" s="59"/>
      <c r="N25" s="59"/>
      <c r="O25" s="59"/>
      <c r="P25" s="59"/>
      <c r="Q25" s="59"/>
      <c r="R25" s="57" t="str">
        <f aca="true">IFERROR(IF(G25&lt;&gt;"",G25-TODAY(),""),"")</f>
        <v/>
      </c>
    </row>
    <row r="26" customFormat="false" ht="18" hidden="false" customHeight="true" outlineLevel="0" collapsed="false">
      <c r="A26" s="50" t="str">
        <f aca="false">IF(B26&lt;&gt;"",(ROW()-2)&amp;"","")</f>
        <v/>
      </c>
      <c r="B26" s="60"/>
      <c r="C26" s="60"/>
      <c r="D26" s="60"/>
      <c r="E26" s="60"/>
      <c r="F26" s="60"/>
      <c r="G26" s="60"/>
      <c r="H26" s="60"/>
      <c r="I26" s="47" t="n">
        <f aca="false">IFERROR(VLOOKUP(F26,S102:T107,2,FALSE()),0)</f>
        <v>0</v>
      </c>
      <c r="J26" s="60"/>
      <c r="K26" s="48" t="str">
        <f aca="false">IF(H26&gt;0,H26*I26,"")</f>
        <v/>
      </c>
      <c r="L26" s="49" t="str">
        <f aca="true">IFERROR(IF(N26&lt;&gt;"",TODAY()-N26,""),"")</f>
        <v/>
      </c>
      <c r="M26" s="60"/>
      <c r="N26" s="60"/>
      <c r="O26" s="60"/>
      <c r="P26" s="60"/>
      <c r="Q26" s="60"/>
      <c r="R26" s="49" t="str">
        <f aca="true">IFERROR(IF(G26&lt;&gt;"",G26-TODAY(),""),"")</f>
        <v/>
      </c>
    </row>
    <row r="27" customFormat="false" ht="18" hidden="false" customHeight="true" outlineLevel="0" collapsed="false">
      <c r="A27" s="42" t="str">
        <f aca="false">IF(B27&lt;&gt;"",(ROW()-2)&amp;"","")</f>
        <v/>
      </c>
      <c r="B27" s="59"/>
      <c r="C27" s="59"/>
      <c r="D27" s="59"/>
      <c r="E27" s="59"/>
      <c r="F27" s="59"/>
      <c r="G27" s="59"/>
      <c r="H27" s="59"/>
      <c r="I27" s="55" t="n">
        <f aca="false">IFERROR(VLOOKUP(F27,S102:T107,2,FALSE()),0)</f>
        <v>0</v>
      </c>
      <c r="J27" s="59"/>
      <c r="K27" s="56" t="str">
        <f aca="false">IF(H27&gt;0,H27*I27,"")</f>
        <v/>
      </c>
      <c r="L27" s="57" t="str">
        <f aca="true">IFERROR(IF(N27&lt;&gt;"",TODAY()-N27,""),"")</f>
        <v/>
      </c>
      <c r="M27" s="59"/>
      <c r="N27" s="59"/>
      <c r="O27" s="59"/>
      <c r="P27" s="59"/>
      <c r="Q27" s="59"/>
      <c r="R27" s="57" t="str">
        <f aca="true">IFERROR(IF(G27&lt;&gt;"",G27-TODAY(),""),"")</f>
        <v/>
      </c>
    </row>
    <row r="28" customFormat="false" ht="18" hidden="false" customHeight="true" outlineLevel="0" collapsed="false">
      <c r="A28" s="50" t="str">
        <f aca="false">IF(B28&lt;&gt;"",(ROW()-2)&amp;"","")</f>
        <v/>
      </c>
      <c r="B28" s="60"/>
      <c r="C28" s="60"/>
      <c r="D28" s="60"/>
      <c r="E28" s="60"/>
      <c r="F28" s="60"/>
      <c r="G28" s="60"/>
      <c r="H28" s="60"/>
      <c r="I28" s="47" t="n">
        <f aca="false">IFERROR(VLOOKUP(F28,S102:T107,2,FALSE()),0)</f>
        <v>0</v>
      </c>
      <c r="J28" s="60"/>
      <c r="K28" s="48" t="str">
        <f aca="false">IF(H28&gt;0,H28*I28,"")</f>
        <v/>
      </c>
      <c r="L28" s="49" t="str">
        <f aca="true">IFERROR(IF(N28&lt;&gt;"",TODAY()-N28,""),"")</f>
        <v/>
      </c>
      <c r="M28" s="60"/>
      <c r="N28" s="60"/>
      <c r="O28" s="60"/>
      <c r="P28" s="60"/>
      <c r="Q28" s="60"/>
      <c r="R28" s="49" t="str">
        <f aca="true">IFERROR(IF(G28&lt;&gt;"",G28-TODAY(),""),"")</f>
        <v/>
      </c>
    </row>
    <row r="29" customFormat="false" ht="18" hidden="false" customHeight="true" outlineLevel="0" collapsed="false">
      <c r="A29" s="42" t="str">
        <f aca="false">IF(B29&lt;&gt;"",(ROW()-2)&amp;"","")</f>
        <v/>
      </c>
      <c r="B29" s="59"/>
      <c r="C29" s="59"/>
      <c r="D29" s="59"/>
      <c r="E29" s="59"/>
      <c r="F29" s="59"/>
      <c r="G29" s="59"/>
      <c r="H29" s="59"/>
      <c r="I29" s="55" t="n">
        <f aca="false">IFERROR(VLOOKUP(F29,S102:T107,2,FALSE()),0)</f>
        <v>0</v>
      </c>
      <c r="J29" s="59"/>
      <c r="K29" s="56" t="str">
        <f aca="false">IF(H29&gt;0,H29*I29,"")</f>
        <v/>
      </c>
      <c r="L29" s="57" t="str">
        <f aca="true">IFERROR(IF(N29&lt;&gt;"",TODAY()-N29,""),"")</f>
        <v/>
      </c>
      <c r="M29" s="59"/>
      <c r="N29" s="59"/>
      <c r="O29" s="59"/>
      <c r="P29" s="59"/>
      <c r="Q29" s="59"/>
      <c r="R29" s="57" t="str">
        <f aca="true">IFERROR(IF(G29&lt;&gt;"",G29-TODAY(),""),"")</f>
        <v/>
      </c>
    </row>
    <row r="30" customFormat="false" ht="18" hidden="false" customHeight="true" outlineLevel="0" collapsed="false">
      <c r="A30" s="50" t="str">
        <f aca="false">IF(B30&lt;&gt;"",(ROW()-2)&amp;"","")</f>
        <v/>
      </c>
      <c r="B30" s="60"/>
      <c r="C30" s="60"/>
      <c r="D30" s="60"/>
      <c r="E30" s="60"/>
      <c r="F30" s="60"/>
      <c r="G30" s="60"/>
      <c r="H30" s="60"/>
      <c r="I30" s="47" t="n">
        <f aca="false">IFERROR(VLOOKUP(F30,S102:T107,2,FALSE()),0)</f>
        <v>0</v>
      </c>
      <c r="J30" s="60"/>
      <c r="K30" s="48" t="str">
        <f aca="false">IF(H30&gt;0,H30*I30,"")</f>
        <v/>
      </c>
      <c r="L30" s="49" t="str">
        <f aca="true">IFERROR(IF(N30&lt;&gt;"",TODAY()-N30,""),"")</f>
        <v/>
      </c>
      <c r="M30" s="60"/>
      <c r="N30" s="60"/>
      <c r="O30" s="60"/>
      <c r="P30" s="60"/>
      <c r="Q30" s="60"/>
      <c r="R30" s="49" t="str">
        <f aca="true">IFERROR(IF(G30&lt;&gt;"",G30-TODAY(),""),"")</f>
        <v/>
      </c>
    </row>
    <row r="31" customFormat="false" ht="18" hidden="false" customHeight="true" outlineLevel="0" collapsed="false">
      <c r="A31" s="42" t="str">
        <f aca="false">IF(B31&lt;&gt;"",(ROW()-2)&amp;"","")</f>
        <v/>
      </c>
      <c r="B31" s="59"/>
      <c r="C31" s="59"/>
      <c r="D31" s="59"/>
      <c r="E31" s="59"/>
      <c r="F31" s="59"/>
      <c r="G31" s="59"/>
      <c r="H31" s="59"/>
      <c r="I31" s="55" t="n">
        <f aca="false">IFERROR(VLOOKUP(F31,S102:T107,2,FALSE()),0)</f>
        <v>0</v>
      </c>
      <c r="J31" s="59"/>
      <c r="K31" s="56" t="str">
        <f aca="false">IF(H31&gt;0,H31*I31,"")</f>
        <v/>
      </c>
      <c r="L31" s="57" t="str">
        <f aca="true">IFERROR(IF(N31&lt;&gt;"",TODAY()-N31,""),"")</f>
        <v/>
      </c>
      <c r="M31" s="59"/>
      <c r="N31" s="59"/>
      <c r="O31" s="59"/>
      <c r="P31" s="59"/>
      <c r="Q31" s="59"/>
      <c r="R31" s="57" t="str">
        <f aca="true">IFERROR(IF(G31&lt;&gt;"",G31-TODAY(),""),"")</f>
        <v/>
      </c>
    </row>
    <row r="32" customFormat="false" ht="18" hidden="false" customHeight="true" outlineLevel="0" collapsed="false">
      <c r="A32" s="50" t="str">
        <f aca="false">IF(B32&lt;&gt;"",(ROW()-2)&amp;"","")</f>
        <v/>
      </c>
      <c r="B32" s="60"/>
      <c r="C32" s="60"/>
      <c r="D32" s="60"/>
      <c r="E32" s="60"/>
      <c r="F32" s="60"/>
      <c r="G32" s="60"/>
      <c r="H32" s="60"/>
      <c r="I32" s="47" t="n">
        <f aca="false">IFERROR(VLOOKUP(F32,S102:T107,2,FALSE()),0)</f>
        <v>0</v>
      </c>
      <c r="J32" s="60"/>
      <c r="K32" s="48" t="str">
        <f aca="false">IF(H32&gt;0,H32*I32,"")</f>
        <v/>
      </c>
      <c r="L32" s="49" t="str">
        <f aca="true">IFERROR(IF(N32&lt;&gt;"",TODAY()-N32,""),"")</f>
        <v/>
      </c>
      <c r="M32" s="60"/>
      <c r="N32" s="60"/>
      <c r="O32" s="60"/>
      <c r="P32" s="60"/>
      <c r="Q32" s="60"/>
      <c r="R32" s="49" t="str">
        <f aca="true">IFERROR(IF(G32&lt;&gt;"",G32-TODAY(),""),"")</f>
        <v/>
      </c>
    </row>
    <row r="33" customFormat="false" ht="18" hidden="false" customHeight="true" outlineLevel="0" collapsed="false">
      <c r="A33" s="42" t="str">
        <f aca="false">IF(B33&lt;&gt;"",(ROW()-2)&amp;"","")</f>
        <v/>
      </c>
      <c r="B33" s="59"/>
      <c r="C33" s="59"/>
      <c r="D33" s="59"/>
      <c r="E33" s="59"/>
      <c r="F33" s="59"/>
      <c r="G33" s="59"/>
      <c r="H33" s="59"/>
      <c r="I33" s="55" t="n">
        <f aca="false">IFERROR(VLOOKUP(F33,S102:T107,2,FALSE()),0)</f>
        <v>0</v>
      </c>
      <c r="J33" s="59"/>
      <c r="K33" s="56" t="str">
        <f aca="false">IF(H33&gt;0,H33*I33,"")</f>
        <v/>
      </c>
      <c r="L33" s="57" t="str">
        <f aca="true">IFERROR(IF(N33&lt;&gt;"",TODAY()-N33,""),"")</f>
        <v/>
      </c>
      <c r="M33" s="59"/>
      <c r="N33" s="59"/>
      <c r="O33" s="59"/>
      <c r="P33" s="59"/>
      <c r="Q33" s="59"/>
      <c r="R33" s="57" t="str">
        <f aca="true">IFERROR(IF(G33&lt;&gt;"",G33-TODAY(),""),"")</f>
        <v/>
      </c>
    </row>
    <row r="34" customFormat="false" ht="18" hidden="false" customHeight="true" outlineLevel="0" collapsed="false">
      <c r="A34" s="50" t="str">
        <f aca="false">IF(B34&lt;&gt;"",(ROW()-2)&amp;"","")</f>
        <v/>
      </c>
      <c r="B34" s="60"/>
      <c r="C34" s="60"/>
      <c r="D34" s="60"/>
      <c r="E34" s="60"/>
      <c r="F34" s="60"/>
      <c r="G34" s="60"/>
      <c r="H34" s="60"/>
      <c r="I34" s="47" t="n">
        <f aca="false">IFERROR(VLOOKUP(F34,S102:T107,2,FALSE()),0)</f>
        <v>0</v>
      </c>
      <c r="J34" s="60"/>
      <c r="K34" s="48" t="str">
        <f aca="false">IF(H34&gt;0,H34*I34,"")</f>
        <v/>
      </c>
      <c r="L34" s="49" t="str">
        <f aca="true">IFERROR(IF(N34&lt;&gt;"",TODAY()-N34,""),"")</f>
        <v/>
      </c>
      <c r="M34" s="60"/>
      <c r="N34" s="60"/>
      <c r="O34" s="60"/>
      <c r="P34" s="60"/>
      <c r="Q34" s="60"/>
      <c r="R34" s="49" t="str">
        <f aca="true">IFERROR(IF(G34&lt;&gt;"",G34-TODAY(),""),"")</f>
        <v/>
      </c>
    </row>
    <row r="35" customFormat="false" ht="18" hidden="false" customHeight="true" outlineLevel="0" collapsed="false">
      <c r="A35" s="42" t="str">
        <f aca="false">IF(B35&lt;&gt;"",(ROW()-2)&amp;"","")</f>
        <v/>
      </c>
      <c r="B35" s="59"/>
      <c r="C35" s="59"/>
      <c r="D35" s="59"/>
      <c r="E35" s="59"/>
      <c r="F35" s="59"/>
      <c r="G35" s="59"/>
      <c r="H35" s="59"/>
      <c r="I35" s="55" t="n">
        <f aca="false">IFERROR(VLOOKUP(F35,S102:T107,2,FALSE()),0)</f>
        <v>0</v>
      </c>
      <c r="J35" s="59"/>
      <c r="K35" s="56" t="str">
        <f aca="false">IF(H35&gt;0,H35*I35,"")</f>
        <v/>
      </c>
      <c r="L35" s="57" t="str">
        <f aca="true">IFERROR(IF(N35&lt;&gt;"",TODAY()-N35,""),"")</f>
        <v/>
      </c>
      <c r="M35" s="59"/>
      <c r="N35" s="59"/>
      <c r="O35" s="59"/>
      <c r="P35" s="59"/>
      <c r="Q35" s="59"/>
      <c r="R35" s="57" t="str">
        <f aca="true">IFERROR(IF(G35&lt;&gt;"",G35-TODAY(),""),"")</f>
        <v/>
      </c>
    </row>
    <row r="36" customFormat="false" ht="18" hidden="false" customHeight="true" outlineLevel="0" collapsed="false">
      <c r="A36" s="50" t="str">
        <f aca="false">IF(B36&lt;&gt;"",(ROW()-2)&amp;"","")</f>
        <v/>
      </c>
      <c r="B36" s="60"/>
      <c r="C36" s="60"/>
      <c r="D36" s="60"/>
      <c r="E36" s="60"/>
      <c r="F36" s="60"/>
      <c r="G36" s="60"/>
      <c r="H36" s="60"/>
      <c r="I36" s="47" t="n">
        <f aca="false">IFERROR(VLOOKUP(F36,S102:T107,2,FALSE()),0)</f>
        <v>0</v>
      </c>
      <c r="J36" s="60"/>
      <c r="K36" s="48" t="str">
        <f aca="false">IF(H36&gt;0,H36*I36,"")</f>
        <v/>
      </c>
      <c r="L36" s="49" t="str">
        <f aca="true">IFERROR(IF(N36&lt;&gt;"",TODAY()-N36,""),"")</f>
        <v/>
      </c>
      <c r="M36" s="60"/>
      <c r="N36" s="60"/>
      <c r="O36" s="60"/>
      <c r="P36" s="60"/>
      <c r="Q36" s="60"/>
      <c r="R36" s="49" t="str">
        <f aca="true">IFERROR(IF(G36&lt;&gt;"",G36-TODAY(),""),"")</f>
        <v/>
      </c>
    </row>
    <row r="37" customFormat="false" ht="18" hidden="false" customHeight="true" outlineLevel="0" collapsed="false">
      <c r="A37" s="42" t="str">
        <f aca="false">IF(B37&lt;&gt;"",(ROW()-2)&amp;"","")</f>
        <v/>
      </c>
      <c r="B37" s="59"/>
      <c r="C37" s="59"/>
      <c r="D37" s="59"/>
      <c r="E37" s="59"/>
      <c r="F37" s="59"/>
      <c r="G37" s="59"/>
      <c r="H37" s="59"/>
      <c r="I37" s="55" t="n">
        <f aca="false">IFERROR(VLOOKUP(F37,S102:T107,2,FALSE()),0)</f>
        <v>0</v>
      </c>
      <c r="J37" s="59"/>
      <c r="K37" s="56" t="str">
        <f aca="false">IF(H37&gt;0,H37*I37,"")</f>
        <v/>
      </c>
      <c r="L37" s="57" t="str">
        <f aca="true">IFERROR(IF(N37&lt;&gt;"",TODAY()-N37,""),"")</f>
        <v/>
      </c>
      <c r="M37" s="59"/>
      <c r="N37" s="59"/>
      <c r="O37" s="59"/>
      <c r="P37" s="59"/>
      <c r="Q37" s="59"/>
      <c r="R37" s="57" t="str">
        <f aca="true">IFERROR(IF(G37&lt;&gt;"",G37-TODAY(),""),"")</f>
        <v/>
      </c>
    </row>
    <row r="38" customFormat="false" ht="18" hidden="false" customHeight="true" outlineLevel="0" collapsed="false">
      <c r="A38" s="50" t="str">
        <f aca="false">IF(B38&lt;&gt;"",(ROW()-2)&amp;"","")</f>
        <v/>
      </c>
      <c r="B38" s="60"/>
      <c r="C38" s="60"/>
      <c r="D38" s="60"/>
      <c r="E38" s="60"/>
      <c r="F38" s="60"/>
      <c r="G38" s="60"/>
      <c r="H38" s="60"/>
      <c r="I38" s="47" t="n">
        <f aca="false">IFERROR(VLOOKUP(F38,S102:T107,2,FALSE()),0)</f>
        <v>0</v>
      </c>
      <c r="J38" s="60"/>
      <c r="K38" s="48" t="str">
        <f aca="false">IF(H38&gt;0,H38*I38,"")</f>
        <v/>
      </c>
      <c r="L38" s="49" t="str">
        <f aca="true">IFERROR(IF(N38&lt;&gt;"",TODAY()-N38,""),"")</f>
        <v/>
      </c>
      <c r="M38" s="60"/>
      <c r="N38" s="60"/>
      <c r="O38" s="60"/>
      <c r="P38" s="60"/>
      <c r="Q38" s="60"/>
      <c r="R38" s="49" t="str">
        <f aca="true">IFERROR(IF(G38&lt;&gt;"",G38-TODAY(),""),"")</f>
        <v/>
      </c>
    </row>
    <row r="39" customFormat="false" ht="18" hidden="false" customHeight="true" outlineLevel="0" collapsed="false">
      <c r="A39" s="42" t="str">
        <f aca="false">IF(B39&lt;&gt;"",(ROW()-2)&amp;"","")</f>
        <v/>
      </c>
      <c r="B39" s="59"/>
      <c r="C39" s="59"/>
      <c r="D39" s="59"/>
      <c r="E39" s="59"/>
      <c r="F39" s="59"/>
      <c r="G39" s="59"/>
      <c r="H39" s="59"/>
      <c r="I39" s="55" t="n">
        <f aca="false">IFERROR(VLOOKUP(F39,S102:T107,2,FALSE()),0)</f>
        <v>0</v>
      </c>
      <c r="J39" s="59"/>
      <c r="K39" s="56" t="str">
        <f aca="false">IF(H39&gt;0,H39*I39,"")</f>
        <v/>
      </c>
      <c r="L39" s="57" t="str">
        <f aca="true">IFERROR(IF(N39&lt;&gt;"",TODAY()-N39,""),"")</f>
        <v/>
      </c>
      <c r="M39" s="59"/>
      <c r="N39" s="59"/>
      <c r="O39" s="59"/>
      <c r="P39" s="59"/>
      <c r="Q39" s="59"/>
      <c r="R39" s="57" t="str">
        <f aca="true">IFERROR(IF(G39&lt;&gt;"",G39-TODAY(),""),"")</f>
        <v/>
      </c>
    </row>
    <row r="40" customFormat="false" ht="18" hidden="false" customHeight="true" outlineLevel="0" collapsed="false">
      <c r="A40" s="50" t="str">
        <f aca="false">IF(B40&lt;&gt;"",(ROW()-2)&amp;"","")</f>
        <v/>
      </c>
      <c r="B40" s="60"/>
      <c r="C40" s="60"/>
      <c r="D40" s="60"/>
      <c r="E40" s="60"/>
      <c r="F40" s="60"/>
      <c r="G40" s="60"/>
      <c r="H40" s="60"/>
      <c r="I40" s="47" t="n">
        <f aca="false">IFERROR(VLOOKUP(F40,S102:T107,2,FALSE()),0)</f>
        <v>0</v>
      </c>
      <c r="J40" s="60"/>
      <c r="K40" s="48" t="str">
        <f aca="false">IF(H40&gt;0,H40*I40,"")</f>
        <v/>
      </c>
      <c r="L40" s="49" t="str">
        <f aca="true">IFERROR(IF(N40&lt;&gt;"",TODAY()-N40,""),"")</f>
        <v/>
      </c>
      <c r="M40" s="60"/>
      <c r="N40" s="60"/>
      <c r="O40" s="60"/>
      <c r="P40" s="60"/>
      <c r="Q40" s="60"/>
      <c r="R40" s="49" t="str">
        <f aca="true">IFERROR(IF(G40&lt;&gt;"",G40-TODAY(),""),"")</f>
        <v/>
      </c>
    </row>
    <row r="41" customFormat="false" ht="18" hidden="false" customHeight="true" outlineLevel="0" collapsed="false">
      <c r="A41" s="42" t="str">
        <f aca="false">IF(B41&lt;&gt;"",(ROW()-2)&amp;"","")</f>
        <v/>
      </c>
      <c r="B41" s="59"/>
      <c r="C41" s="59"/>
      <c r="D41" s="59"/>
      <c r="E41" s="59"/>
      <c r="F41" s="59"/>
      <c r="G41" s="59"/>
      <c r="H41" s="59"/>
      <c r="I41" s="55" t="n">
        <f aca="false">IFERROR(VLOOKUP(F41,S102:T107,2,FALSE()),0)</f>
        <v>0</v>
      </c>
      <c r="J41" s="59"/>
      <c r="K41" s="56" t="str">
        <f aca="false">IF(H41&gt;0,H41*I41,"")</f>
        <v/>
      </c>
      <c r="L41" s="57" t="str">
        <f aca="true">IFERROR(IF(N41&lt;&gt;"",TODAY()-N41,""),"")</f>
        <v/>
      </c>
      <c r="M41" s="59"/>
      <c r="N41" s="59"/>
      <c r="O41" s="59"/>
      <c r="P41" s="59"/>
      <c r="Q41" s="59"/>
      <c r="R41" s="57" t="str">
        <f aca="true">IFERROR(IF(G41&lt;&gt;"",G41-TODAY(),""),"")</f>
        <v/>
      </c>
    </row>
    <row r="42" customFormat="false" ht="18" hidden="false" customHeight="true" outlineLevel="0" collapsed="false">
      <c r="A42" s="50" t="str">
        <f aca="false">IF(B42&lt;&gt;"",(ROW()-2)&amp;"","")</f>
        <v/>
      </c>
      <c r="B42" s="60"/>
      <c r="C42" s="60"/>
      <c r="D42" s="60"/>
      <c r="E42" s="60"/>
      <c r="F42" s="60"/>
      <c r="G42" s="60"/>
      <c r="H42" s="60"/>
      <c r="I42" s="47" t="n">
        <f aca="false">IFERROR(VLOOKUP(F42,S102:T107,2,FALSE()),0)</f>
        <v>0</v>
      </c>
      <c r="J42" s="60"/>
      <c r="K42" s="48" t="str">
        <f aca="false">IF(H42&gt;0,H42*I42,"")</f>
        <v/>
      </c>
      <c r="L42" s="49" t="str">
        <f aca="true">IFERROR(IF(N42&lt;&gt;"",TODAY()-N42,""),"")</f>
        <v/>
      </c>
      <c r="M42" s="60"/>
      <c r="N42" s="60"/>
      <c r="O42" s="60"/>
      <c r="P42" s="60"/>
      <c r="Q42" s="60"/>
      <c r="R42" s="49" t="str">
        <f aca="true">IFERROR(IF(G42&lt;&gt;"",G42-TODAY(),""),"")</f>
        <v/>
      </c>
    </row>
    <row r="43" customFormat="false" ht="18" hidden="false" customHeight="true" outlineLevel="0" collapsed="false">
      <c r="A43" s="42" t="str">
        <f aca="false">IF(B43&lt;&gt;"",(ROW()-2)&amp;"","")</f>
        <v/>
      </c>
      <c r="B43" s="59"/>
      <c r="C43" s="59"/>
      <c r="D43" s="59"/>
      <c r="E43" s="59"/>
      <c r="F43" s="59"/>
      <c r="G43" s="59"/>
      <c r="H43" s="59"/>
      <c r="I43" s="55" t="n">
        <f aca="false">IFERROR(VLOOKUP(F43,S102:T107,2,FALSE()),0)</f>
        <v>0</v>
      </c>
      <c r="J43" s="59"/>
      <c r="K43" s="56" t="str">
        <f aca="false">IF(H43&gt;0,H43*I43,"")</f>
        <v/>
      </c>
      <c r="L43" s="57" t="str">
        <f aca="true">IFERROR(IF(N43&lt;&gt;"",TODAY()-N43,""),"")</f>
        <v/>
      </c>
      <c r="M43" s="59"/>
      <c r="N43" s="59"/>
      <c r="O43" s="59"/>
      <c r="P43" s="59"/>
      <c r="Q43" s="59"/>
      <c r="R43" s="57" t="str">
        <f aca="true">IFERROR(IF(G43&lt;&gt;"",G43-TODAY(),""),"")</f>
        <v/>
      </c>
    </row>
    <row r="44" customFormat="false" ht="18" hidden="false" customHeight="true" outlineLevel="0" collapsed="false">
      <c r="A44" s="50" t="str">
        <f aca="false">IF(B44&lt;&gt;"",(ROW()-2)&amp;"","")</f>
        <v/>
      </c>
      <c r="B44" s="60"/>
      <c r="C44" s="60"/>
      <c r="D44" s="60"/>
      <c r="E44" s="60"/>
      <c r="F44" s="60"/>
      <c r="G44" s="60"/>
      <c r="H44" s="60"/>
      <c r="I44" s="47" t="n">
        <f aca="false">IFERROR(VLOOKUP(F44,S102:T107,2,FALSE()),0)</f>
        <v>0</v>
      </c>
      <c r="J44" s="60"/>
      <c r="K44" s="48" t="str">
        <f aca="false">IF(H44&gt;0,H44*I44,"")</f>
        <v/>
      </c>
      <c r="L44" s="49" t="str">
        <f aca="true">IFERROR(IF(N44&lt;&gt;"",TODAY()-N44,""),"")</f>
        <v/>
      </c>
      <c r="M44" s="60"/>
      <c r="N44" s="60"/>
      <c r="O44" s="60"/>
      <c r="P44" s="60"/>
      <c r="Q44" s="60"/>
      <c r="R44" s="49" t="str">
        <f aca="true">IFERROR(IF(G44&lt;&gt;"",G44-TODAY(),""),"")</f>
        <v/>
      </c>
    </row>
    <row r="45" customFormat="false" ht="18" hidden="false" customHeight="true" outlineLevel="0" collapsed="false">
      <c r="A45" s="42" t="str">
        <f aca="false">IF(B45&lt;&gt;"",(ROW()-2)&amp;"","")</f>
        <v/>
      </c>
      <c r="B45" s="59"/>
      <c r="C45" s="59"/>
      <c r="D45" s="59"/>
      <c r="E45" s="59"/>
      <c r="F45" s="59"/>
      <c r="G45" s="59"/>
      <c r="H45" s="59"/>
      <c r="I45" s="55" t="n">
        <f aca="false">IFERROR(VLOOKUP(F45,S102:T107,2,FALSE()),0)</f>
        <v>0</v>
      </c>
      <c r="J45" s="59"/>
      <c r="K45" s="56" t="str">
        <f aca="false">IF(H45&gt;0,H45*I45,"")</f>
        <v/>
      </c>
      <c r="L45" s="57" t="str">
        <f aca="true">IFERROR(IF(N45&lt;&gt;"",TODAY()-N45,""),"")</f>
        <v/>
      </c>
      <c r="M45" s="59"/>
      <c r="N45" s="59"/>
      <c r="O45" s="59"/>
      <c r="P45" s="59"/>
      <c r="Q45" s="59"/>
      <c r="R45" s="57" t="str">
        <f aca="true">IFERROR(IF(G45&lt;&gt;"",G45-TODAY(),""),"")</f>
        <v/>
      </c>
    </row>
    <row r="46" customFormat="false" ht="18" hidden="false" customHeight="true" outlineLevel="0" collapsed="false">
      <c r="A46" s="50" t="str">
        <f aca="false">IF(B46&lt;&gt;"",(ROW()-2)&amp;"","")</f>
        <v/>
      </c>
      <c r="B46" s="60"/>
      <c r="C46" s="60"/>
      <c r="D46" s="60"/>
      <c r="E46" s="60"/>
      <c r="F46" s="60"/>
      <c r="G46" s="60"/>
      <c r="H46" s="60"/>
      <c r="I46" s="47" t="n">
        <f aca="false">IFERROR(VLOOKUP(F46,S102:T107,2,FALSE()),0)</f>
        <v>0</v>
      </c>
      <c r="J46" s="60"/>
      <c r="K46" s="48" t="str">
        <f aca="false">IF(H46&gt;0,H46*I46,"")</f>
        <v/>
      </c>
      <c r="L46" s="49" t="str">
        <f aca="true">IFERROR(IF(N46&lt;&gt;"",TODAY()-N46,""),"")</f>
        <v/>
      </c>
      <c r="M46" s="60"/>
      <c r="N46" s="60"/>
      <c r="O46" s="60"/>
      <c r="P46" s="60"/>
      <c r="Q46" s="60"/>
      <c r="R46" s="49" t="str">
        <f aca="true">IFERROR(IF(G46&lt;&gt;"",G46-TODAY(),""),"")</f>
        <v/>
      </c>
    </row>
    <row r="47" customFormat="false" ht="18" hidden="false" customHeight="true" outlineLevel="0" collapsed="false">
      <c r="A47" s="42" t="str">
        <f aca="false">IF(B47&lt;&gt;"",(ROW()-2)&amp;"","")</f>
        <v/>
      </c>
      <c r="B47" s="59"/>
      <c r="C47" s="59"/>
      <c r="D47" s="59"/>
      <c r="E47" s="59"/>
      <c r="F47" s="59"/>
      <c r="G47" s="59"/>
      <c r="H47" s="59"/>
      <c r="I47" s="55" t="n">
        <f aca="false">IFERROR(VLOOKUP(F47,S102:T107,2,FALSE()),0)</f>
        <v>0</v>
      </c>
      <c r="J47" s="59"/>
      <c r="K47" s="56" t="str">
        <f aca="false">IF(H47&gt;0,H47*I47,"")</f>
        <v/>
      </c>
      <c r="L47" s="57" t="str">
        <f aca="true">IFERROR(IF(N47&lt;&gt;"",TODAY()-N47,""),"")</f>
        <v/>
      </c>
      <c r="M47" s="59"/>
      <c r="N47" s="59"/>
      <c r="O47" s="59"/>
      <c r="P47" s="59"/>
      <c r="Q47" s="59"/>
      <c r="R47" s="57" t="str">
        <f aca="true">IFERROR(IF(G47&lt;&gt;"",G47-TODAY(),""),"")</f>
        <v/>
      </c>
    </row>
    <row r="48" customFormat="false" ht="18" hidden="false" customHeight="true" outlineLevel="0" collapsed="false">
      <c r="A48" s="50" t="str">
        <f aca="false">IF(B48&lt;&gt;"",(ROW()-2)&amp;"","")</f>
        <v/>
      </c>
      <c r="B48" s="60"/>
      <c r="C48" s="60"/>
      <c r="D48" s="60"/>
      <c r="E48" s="60"/>
      <c r="F48" s="60"/>
      <c r="G48" s="60"/>
      <c r="H48" s="60"/>
      <c r="I48" s="47" t="n">
        <f aca="false">IFERROR(VLOOKUP(F48,S102:T107,2,FALSE()),0)</f>
        <v>0</v>
      </c>
      <c r="J48" s="60"/>
      <c r="K48" s="48" t="str">
        <f aca="false">IF(H48&gt;0,H48*I48,"")</f>
        <v/>
      </c>
      <c r="L48" s="49" t="str">
        <f aca="true">IFERROR(IF(N48&lt;&gt;"",TODAY()-N48,""),"")</f>
        <v/>
      </c>
      <c r="M48" s="60"/>
      <c r="N48" s="60"/>
      <c r="O48" s="60"/>
      <c r="P48" s="60"/>
      <c r="Q48" s="60"/>
      <c r="R48" s="49" t="str">
        <f aca="true">IFERROR(IF(G48&lt;&gt;"",G48-TODAY(),""),"")</f>
        <v/>
      </c>
    </row>
    <row r="49" customFormat="false" ht="18" hidden="false" customHeight="true" outlineLevel="0" collapsed="false">
      <c r="A49" s="42" t="str">
        <f aca="false">IF(B49&lt;&gt;"",(ROW()-2)&amp;"","")</f>
        <v/>
      </c>
      <c r="B49" s="59"/>
      <c r="C49" s="59"/>
      <c r="D49" s="59"/>
      <c r="E49" s="59"/>
      <c r="F49" s="59"/>
      <c r="G49" s="59"/>
      <c r="H49" s="59"/>
      <c r="I49" s="55" t="n">
        <f aca="false">IFERROR(VLOOKUP(F49,S102:T107,2,FALSE()),0)</f>
        <v>0</v>
      </c>
      <c r="J49" s="59"/>
      <c r="K49" s="56" t="str">
        <f aca="false">IF(H49&gt;0,H49*I49,"")</f>
        <v/>
      </c>
      <c r="L49" s="57" t="str">
        <f aca="true">IFERROR(IF(N49&lt;&gt;"",TODAY()-N49,""),"")</f>
        <v/>
      </c>
      <c r="M49" s="59"/>
      <c r="N49" s="59"/>
      <c r="O49" s="59"/>
      <c r="P49" s="59"/>
      <c r="Q49" s="59"/>
      <c r="R49" s="57" t="str">
        <f aca="true">IFERROR(IF(G49&lt;&gt;"",G49-TODAY(),""),"")</f>
        <v/>
      </c>
    </row>
    <row r="50" customFormat="false" ht="18" hidden="false" customHeight="true" outlineLevel="0" collapsed="false">
      <c r="A50" s="50" t="str">
        <f aca="false">IF(B50&lt;&gt;"",(ROW()-2)&amp;"","")</f>
        <v/>
      </c>
      <c r="B50" s="60"/>
      <c r="C50" s="60"/>
      <c r="D50" s="60"/>
      <c r="E50" s="60"/>
      <c r="F50" s="60"/>
      <c r="G50" s="60"/>
      <c r="H50" s="60"/>
      <c r="I50" s="47" t="n">
        <f aca="false">IFERROR(VLOOKUP(F50,S102:T107,2,FALSE()),0)</f>
        <v>0</v>
      </c>
      <c r="J50" s="60"/>
      <c r="K50" s="48" t="str">
        <f aca="false">IF(H50&gt;0,H50*I50,"")</f>
        <v/>
      </c>
      <c r="L50" s="49" t="str">
        <f aca="true">IFERROR(IF(N50&lt;&gt;"",TODAY()-N50,""),"")</f>
        <v/>
      </c>
      <c r="M50" s="60"/>
      <c r="N50" s="60"/>
      <c r="O50" s="60"/>
      <c r="P50" s="60"/>
      <c r="Q50" s="60"/>
      <c r="R50" s="49" t="str">
        <f aca="true">IFERROR(IF(G50&lt;&gt;"",G50-TODAY(),""),"")</f>
        <v/>
      </c>
    </row>
    <row r="51" customFormat="false" ht="18" hidden="false" customHeight="true" outlineLevel="0" collapsed="false">
      <c r="A51" s="42" t="str">
        <f aca="false">IF(B51&lt;&gt;"",(ROW()-2)&amp;"","")</f>
        <v/>
      </c>
      <c r="B51" s="59"/>
      <c r="C51" s="59"/>
      <c r="D51" s="59"/>
      <c r="E51" s="59"/>
      <c r="F51" s="59"/>
      <c r="G51" s="59"/>
      <c r="H51" s="59"/>
      <c r="I51" s="55" t="n">
        <f aca="false">IFERROR(VLOOKUP(F51,S102:T107,2,FALSE()),0)</f>
        <v>0</v>
      </c>
      <c r="J51" s="59"/>
      <c r="K51" s="56" t="str">
        <f aca="false">IF(H51&gt;0,H51*I51,"")</f>
        <v/>
      </c>
      <c r="L51" s="57" t="str">
        <f aca="true">IFERROR(IF(N51&lt;&gt;"",TODAY()-N51,""),"")</f>
        <v/>
      </c>
      <c r="M51" s="59"/>
      <c r="N51" s="59"/>
      <c r="O51" s="59"/>
      <c r="P51" s="59"/>
      <c r="Q51" s="59"/>
      <c r="R51" s="57" t="str">
        <f aca="true">IFERROR(IF(G51&lt;&gt;"",G51-TODAY(),""),"")</f>
        <v/>
      </c>
    </row>
    <row r="52" customFormat="false" ht="18" hidden="false" customHeight="true" outlineLevel="0" collapsed="false">
      <c r="A52" s="50" t="str">
        <f aca="false">IF(B52&lt;&gt;"",(ROW()-2)&amp;"","")</f>
        <v/>
      </c>
      <c r="B52" s="60"/>
      <c r="C52" s="60"/>
      <c r="D52" s="60"/>
      <c r="E52" s="60"/>
      <c r="F52" s="60"/>
      <c r="G52" s="60"/>
      <c r="H52" s="60"/>
      <c r="I52" s="47" t="n">
        <f aca="false">IFERROR(VLOOKUP(F52,S102:T107,2,FALSE()),0)</f>
        <v>0</v>
      </c>
      <c r="J52" s="60"/>
      <c r="K52" s="48" t="str">
        <f aca="false">IF(H52&gt;0,H52*I52,"")</f>
        <v/>
      </c>
      <c r="L52" s="49" t="str">
        <f aca="true">IFERROR(IF(N52&lt;&gt;"",TODAY()-N52,""),"")</f>
        <v/>
      </c>
      <c r="M52" s="60"/>
      <c r="N52" s="60"/>
      <c r="O52" s="60"/>
      <c r="P52" s="60"/>
      <c r="Q52" s="60"/>
      <c r="R52" s="49" t="str">
        <f aca="true">IFERROR(IF(G52&lt;&gt;"",G52-TODAY(),""),"")</f>
        <v/>
      </c>
    </row>
    <row r="53" customFormat="false" ht="18" hidden="false" customHeight="true" outlineLevel="0" collapsed="false">
      <c r="A53" s="42" t="str">
        <f aca="false">IF(B53&lt;&gt;"",(ROW()-2)&amp;"","")</f>
        <v/>
      </c>
      <c r="B53" s="59"/>
      <c r="C53" s="59"/>
      <c r="D53" s="59"/>
      <c r="E53" s="59"/>
      <c r="F53" s="59"/>
      <c r="G53" s="59"/>
      <c r="H53" s="59"/>
      <c r="I53" s="55" t="n">
        <f aca="false">IFERROR(VLOOKUP(F53,S102:T107,2,FALSE()),0)</f>
        <v>0</v>
      </c>
      <c r="J53" s="59"/>
      <c r="K53" s="56" t="str">
        <f aca="false">IF(H53&gt;0,H53*I53,"")</f>
        <v/>
      </c>
      <c r="L53" s="57" t="str">
        <f aca="true">IFERROR(IF(N53&lt;&gt;"",TODAY()-N53,""),"")</f>
        <v/>
      </c>
      <c r="M53" s="59"/>
      <c r="N53" s="59"/>
      <c r="O53" s="59"/>
      <c r="P53" s="59"/>
      <c r="Q53" s="59"/>
      <c r="R53" s="57" t="str">
        <f aca="true">IFERROR(IF(G53&lt;&gt;"",G53-TODAY(),""),"")</f>
        <v/>
      </c>
    </row>
    <row r="54" customFormat="false" ht="18" hidden="false" customHeight="true" outlineLevel="0" collapsed="false">
      <c r="A54" s="50" t="str">
        <f aca="false">IF(B54&lt;&gt;"",(ROW()-2)&amp;"","")</f>
        <v/>
      </c>
      <c r="B54" s="60"/>
      <c r="C54" s="60"/>
      <c r="D54" s="60"/>
      <c r="E54" s="60"/>
      <c r="F54" s="60"/>
      <c r="G54" s="60"/>
      <c r="H54" s="60"/>
      <c r="I54" s="47" t="n">
        <f aca="false">IFERROR(VLOOKUP(F54,S102:T107,2,FALSE()),0)</f>
        <v>0</v>
      </c>
      <c r="J54" s="60"/>
      <c r="K54" s="48" t="str">
        <f aca="false">IF(H54&gt;0,H54*I54,"")</f>
        <v/>
      </c>
      <c r="L54" s="49" t="str">
        <f aca="true">IFERROR(IF(N54&lt;&gt;"",TODAY()-N54,""),"")</f>
        <v/>
      </c>
      <c r="M54" s="60"/>
      <c r="N54" s="60"/>
      <c r="O54" s="60"/>
      <c r="P54" s="60"/>
      <c r="Q54" s="60"/>
      <c r="R54" s="49" t="str">
        <f aca="true">IFERROR(IF(G54&lt;&gt;"",G54-TODAY(),""),"")</f>
        <v/>
      </c>
    </row>
    <row r="55" customFormat="false" ht="18" hidden="false" customHeight="true" outlineLevel="0" collapsed="false">
      <c r="A55" s="42" t="str">
        <f aca="false">IF(B55&lt;&gt;"",(ROW()-2)&amp;"","")</f>
        <v/>
      </c>
      <c r="B55" s="59"/>
      <c r="C55" s="59"/>
      <c r="D55" s="59"/>
      <c r="E55" s="59"/>
      <c r="F55" s="59"/>
      <c r="G55" s="59"/>
      <c r="H55" s="59"/>
      <c r="I55" s="55" t="n">
        <f aca="false">IFERROR(VLOOKUP(F55,S102:T107,2,FALSE()),0)</f>
        <v>0</v>
      </c>
      <c r="J55" s="59"/>
      <c r="K55" s="56" t="str">
        <f aca="false">IF(H55&gt;0,H55*I55,"")</f>
        <v/>
      </c>
      <c r="L55" s="57" t="str">
        <f aca="true">IFERROR(IF(N55&lt;&gt;"",TODAY()-N55,""),"")</f>
        <v/>
      </c>
      <c r="M55" s="59"/>
      <c r="N55" s="59"/>
      <c r="O55" s="59"/>
      <c r="P55" s="59"/>
      <c r="Q55" s="59"/>
      <c r="R55" s="57" t="str">
        <f aca="true">IFERROR(IF(G55&lt;&gt;"",G55-TODAY(),""),"")</f>
        <v/>
      </c>
    </row>
    <row r="56" customFormat="false" ht="18" hidden="false" customHeight="true" outlineLevel="0" collapsed="false">
      <c r="A56" s="50" t="str">
        <f aca="false">IF(B56&lt;&gt;"",(ROW()-2)&amp;"","")</f>
        <v/>
      </c>
      <c r="B56" s="60"/>
      <c r="C56" s="60"/>
      <c r="D56" s="60"/>
      <c r="E56" s="60"/>
      <c r="F56" s="60"/>
      <c r="G56" s="60"/>
      <c r="H56" s="60"/>
      <c r="I56" s="47" t="n">
        <f aca="false">IFERROR(VLOOKUP(F56,S102:T107,2,FALSE()),0)</f>
        <v>0</v>
      </c>
      <c r="J56" s="60"/>
      <c r="K56" s="48" t="str">
        <f aca="false">IF(H56&gt;0,H56*I56,"")</f>
        <v/>
      </c>
      <c r="L56" s="49" t="str">
        <f aca="true">IFERROR(IF(N56&lt;&gt;"",TODAY()-N56,""),"")</f>
        <v/>
      </c>
      <c r="M56" s="60"/>
      <c r="N56" s="60"/>
      <c r="O56" s="60"/>
      <c r="P56" s="60"/>
      <c r="Q56" s="60"/>
      <c r="R56" s="49" t="str">
        <f aca="true">IFERROR(IF(G56&lt;&gt;"",G56-TODAY(),""),"")</f>
        <v/>
      </c>
    </row>
    <row r="57" customFormat="false" ht="18" hidden="false" customHeight="true" outlineLevel="0" collapsed="false">
      <c r="A57" s="42" t="str">
        <f aca="false">IF(B57&lt;&gt;"",(ROW()-2)&amp;"","")</f>
        <v/>
      </c>
      <c r="B57" s="59"/>
      <c r="C57" s="59"/>
      <c r="D57" s="59"/>
      <c r="E57" s="59"/>
      <c r="F57" s="59"/>
      <c r="G57" s="59"/>
      <c r="H57" s="59"/>
      <c r="I57" s="55" t="n">
        <f aca="false">IFERROR(VLOOKUP(F57,S102:T107,2,FALSE()),0)</f>
        <v>0</v>
      </c>
      <c r="J57" s="59"/>
      <c r="K57" s="56" t="str">
        <f aca="false">IF(H57&gt;0,H57*I57,"")</f>
        <v/>
      </c>
      <c r="L57" s="57" t="str">
        <f aca="true">IFERROR(IF(N57&lt;&gt;"",TODAY()-N57,""),"")</f>
        <v/>
      </c>
      <c r="M57" s="59"/>
      <c r="N57" s="59"/>
      <c r="O57" s="59"/>
      <c r="P57" s="59"/>
      <c r="Q57" s="59"/>
      <c r="R57" s="57" t="str">
        <f aca="true">IFERROR(IF(G57&lt;&gt;"",G57-TODAY(),""),"")</f>
        <v/>
      </c>
    </row>
    <row r="58" customFormat="false" ht="18" hidden="false" customHeight="true" outlineLevel="0" collapsed="false">
      <c r="A58" s="50" t="str">
        <f aca="false">IF(B58&lt;&gt;"",(ROW()-2)&amp;"","")</f>
        <v/>
      </c>
      <c r="B58" s="60"/>
      <c r="C58" s="60"/>
      <c r="D58" s="60"/>
      <c r="E58" s="60"/>
      <c r="F58" s="60"/>
      <c r="G58" s="60"/>
      <c r="H58" s="60"/>
      <c r="I58" s="47" t="n">
        <f aca="false">IFERROR(VLOOKUP(F58,S102:T107,2,FALSE()),0)</f>
        <v>0</v>
      </c>
      <c r="J58" s="60"/>
      <c r="K58" s="48" t="str">
        <f aca="false">IF(H58&gt;0,H58*I58,"")</f>
        <v/>
      </c>
      <c r="L58" s="49" t="str">
        <f aca="true">IFERROR(IF(N58&lt;&gt;"",TODAY()-N58,""),"")</f>
        <v/>
      </c>
      <c r="M58" s="60"/>
      <c r="N58" s="60"/>
      <c r="O58" s="60"/>
      <c r="P58" s="60"/>
      <c r="Q58" s="60"/>
      <c r="R58" s="49" t="str">
        <f aca="true">IFERROR(IF(G58&lt;&gt;"",G58-TODAY(),""),"")</f>
        <v/>
      </c>
    </row>
    <row r="59" customFormat="false" ht="18" hidden="false" customHeight="true" outlineLevel="0" collapsed="false">
      <c r="A59" s="42" t="str">
        <f aca="false">IF(B59&lt;&gt;"",(ROW()-2)&amp;"","")</f>
        <v/>
      </c>
      <c r="B59" s="59"/>
      <c r="C59" s="59"/>
      <c r="D59" s="59"/>
      <c r="E59" s="59"/>
      <c r="F59" s="59"/>
      <c r="G59" s="59"/>
      <c r="H59" s="59"/>
      <c r="I59" s="55" t="n">
        <f aca="false">IFERROR(VLOOKUP(F59,S102:T107,2,FALSE()),0)</f>
        <v>0</v>
      </c>
      <c r="J59" s="59"/>
      <c r="K59" s="56" t="str">
        <f aca="false">IF(H59&gt;0,H59*I59,"")</f>
        <v/>
      </c>
      <c r="L59" s="57" t="str">
        <f aca="true">IFERROR(IF(N59&lt;&gt;"",TODAY()-N59,""),"")</f>
        <v/>
      </c>
      <c r="M59" s="59"/>
      <c r="N59" s="59"/>
      <c r="O59" s="59"/>
      <c r="P59" s="59"/>
      <c r="Q59" s="59"/>
      <c r="R59" s="57" t="str">
        <f aca="true">IFERROR(IF(G59&lt;&gt;"",G59-TODAY(),""),"")</f>
        <v/>
      </c>
    </row>
    <row r="60" customFormat="false" ht="18" hidden="false" customHeight="true" outlineLevel="0" collapsed="false">
      <c r="A60" s="50" t="str">
        <f aca="false">IF(B60&lt;&gt;"",(ROW()-2)&amp;"","")</f>
        <v/>
      </c>
      <c r="B60" s="60"/>
      <c r="C60" s="60"/>
      <c r="D60" s="60"/>
      <c r="E60" s="60"/>
      <c r="F60" s="60"/>
      <c r="G60" s="60"/>
      <c r="H60" s="60"/>
      <c r="I60" s="47" t="n">
        <f aca="false">IFERROR(VLOOKUP(F60,S102:T107,2,FALSE()),0)</f>
        <v>0</v>
      </c>
      <c r="J60" s="60"/>
      <c r="K60" s="48" t="str">
        <f aca="false">IF(H60&gt;0,H60*I60,"")</f>
        <v/>
      </c>
      <c r="L60" s="49" t="str">
        <f aca="true">IFERROR(IF(N60&lt;&gt;"",TODAY()-N60,""),"")</f>
        <v/>
      </c>
      <c r="M60" s="60"/>
      <c r="N60" s="60"/>
      <c r="O60" s="60"/>
      <c r="P60" s="60"/>
      <c r="Q60" s="60"/>
      <c r="R60" s="49" t="str">
        <f aca="true">IFERROR(IF(G60&lt;&gt;"",G60-TODAY(),""),"")</f>
        <v/>
      </c>
    </row>
    <row r="61" customFormat="false" ht="18" hidden="false" customHeight="true" outlineLevel="0" collapsed="false">
      <c r="A61" s="42" t="str">
        <f aca="false">IF(B61&lt;&gt;"",(ROW()-2)&amp;"","")</f>
        <v/>
      </c>
      <c r="B61" s="59"/>
      <c r="C61" s="59"/>
      <c r="D61" s="59"/>
      <c r="E61" s="59"/>
      <c r="F61" s="59"/>
      <c r="G61" s="59"/>
      <c r="H61" s="59"/>
      <c r="I61" s="55" t="n">
        <f aca="false">IFERROR(VLOOKUP(F61,S102:T107,2,FALSE()),0)</f>
        <v>0</v>
      </c>
      <c r="J61" s="59"/>
      <c r="K61" s="56" t="str">
        <f aca="false">IF(H61&gt;0,H61*I61,"")</f>
        <v/>
      </c>
      <c r="L61" s="57" t="str">
        <f aca="true">IFERROR(IF(N61&lt;&gt;"",TODAY()-N61,""),"")</f>
        <v/>
      </c>
      <c r="M61" s="59"/>
      <c r="N61" s="59"/>
      <c r="O61" s="59"/>
      <c r="P61" s="59"/>
      <c r="Q61" s="59"/>
      <c r="R61" s="57" t="str">
        <f aca="true">IFERROR(IF(G61&lt;&gt;"",G61-TODAY(),""),"")</f>
        <v/>
      </c>
    </row>
    <row r="62" customFormat="false" ht="18" hidden="false" customHeight="true" outlineLevel="0" collapsed="false">
      <c r="A62" s="50" t="str">
        <f aca="false">IF(B62&lt;&gt;"",(ROW()-2)&amp;"","")</f>
        <v/>
      </c>
      <c r="B62" s="60"/>
      <c r="C62" s="60"/>
      <c r="D62" s="60"/>
      <c r="E62" s="60"/>
      <c r="F62" s="60"/>
      <c r="G62" s="60"/>
      <c r="H62" s="60"/>
      <c r="I62" s="47" t="n">
        <f aca="false">IFERROR(VLOOKUP(F62,S102:T107,2,FALSE()),0)</f>
        <v>0</v>
      </c>
      <c r="J62" s="60"/>
      <c r="K62" s="48" t="str">
        <f aca="false">IF(H62&gt;0,H62*I62,"")</f>
        <v/>
      </c>
      <c r="L62" s="49" t="str">
        <f aca="true">IFERROR(IF(N62&lt;&gt;"",TODAY()-N62,""),"")</f>
        <v/>
      </c>
      <c r="M62" s="60"/>
      <c r="N62" s="60"/>
      <c r="O62" s="60"/>
      <c r="P62" s="60"/>
      <c r="Q62" s="60"/>
      <c r="R62" s="49" t="str">
        <f aca="true">IFERROR(IF(G62&lt;&gt;"",G62-TODAY(),""),"")</f>
        <v/>
      </c>
    </row>
    <row r="63" customFormat="false" ht="18" hidden="false" customHeight="true" outlineLevel="0" collapsed="false">
      <c r="A63" s="42" t="str">
        <f aca="false">IF(B63&lt;&gt;"",(ROW()-2)&amp;"","")</f>
        <v/>
      </c>
      <c r="B63" s="59"/>
      <c r="C63" s="59"/>
      <c r="D63" s="59"/>
      <c r="E63" s="59"/>
      <c r="F63" s="59"/>
      <c r="G63" s="59"/>
      <c r="H63" s="59"/>
      <c r="I63" s="55" t="n">
        <f aca="false">IFERROR(VLOOKUP(F63,S102:T107,2,FALSE()),0)</f>
        <v>0</v>
      </c>
      <c r="J63" s="59"/>
      <c r="K63" s="56" t="str">
        <f aca="false">IF(H63&gt;0,H63*I63,"")</f>
        <v/>
      </c>
      <c r="L63" s="57" t="str">
        <f aca="true">IFERROR(IF(N63&lt;&gt;"",TODAY()-N63,""),"")</f>
        <v/>
      </c>
      <c r="M63" s="59"/>
      <c r="N63" s="59"/>
      <c r="O63" s="59"/>
      <c r="P63" s="59"/>
      <c r="Q63" s="59"/>
      <c r="R63" s="57" t="str">
        <f aca="true">IFERROR(IF(G63&lt;&gt;"",G63-TODAY(),""),"")</f>
        <v/>
      </c>
    </row>
    <row r="64" customFormat="false" ht="18" hidden="false" customHeight="true" outlineLevel="0" collapsed="false">
      <c r="A64" s="50" t="str">
        <f aca="false">IF(B64&lt;&gt;"",(ROW()-2)&amp;"","")</f>
        <v/>
      </c>
      <c r="B64" s="60"/>
      <c r="C64" s="60"/>
      <c r="D64" s="60"/>
      <c r="E64" s="60"/>
      <c r="F64" s="60"/>
      <c r="G64" s="60"/>
      <c r="H64" s="60"/>
      <c r="I64" s="47" t="n">
        <f aca="false">IFERROR(VLOOKUP(F64,S102:T107,2,FALSE()),0)</f>
        <v>0</v>
      </c>
      <c r="J64" s="60"/>
      <c r="K64" s="48" t="str">
        <f aca="false">IF(H64&gt;0,H64*I64,"")</f>
        <v/>
      </c>
      <c r="L64" s="49" t="str">
        <f aca="true">IFERROR(IF(N64&lt;&gt;"",TODAY()-N64,""),"")</f>
        <v/>
      </c>
      <c r="M64" s="60"/>
      <c r="N64" s="60"/>
      <c r="O64" s="60"/>
      <c r="P64" s="60"/>
      <c r="Q64" s="60"/>
      <c r="R64" s="49" t="str">
        <f aca="true">IFERROR(IF(G64&lt;&gt;"",G64-TODAY(),""),"")</f>
        <v/>
      </c>
    </row>
    <row r="65" customFormat="false" ht="18" hidden="false" customHeight="true" outlineLevel="0" collapsed="false">
      <c r="A65" s="42" t="str">
        <f aca="false">IF(B65&lt;&gt;"",(ROW()-2)&amp;"","")</f>
        <v/>
      </c>
      <c r="B65" s="59"/>
      <c r="C65" s="59"/>
      <c r="D65" s="59"/>
      <c r="E65" s="59"/>
      <c r="F65" s="59"/>
      <c r="G65" s="59"/>
      <c r="H65" s="59"/>
      <c r="I65" s="55" t="n">
        <f aca="false">IFERROR(VLOOKUP(F65,S102:T107,2,FALSE()),0)</f>
        <v>0</v>
      </c>
      <c r="J65" s="59"/>
      <c r="K65" s="56" t="str">
        <f aca="false">IF(H65&gt;0,H65*I65,"")</f>
        <v/>
      </c>
      <c r="L65" s="57" t="str">
        <f aca="true">IFERROR(IF(N65&lt;&gt;"",TODAY()-N65,""),"")</f>
        <v/>
      </c>
      <c r="M65" s="59"/>
      <c r="N65" s="59"/>
      <c r="O65" s="59"/>
      <c r="P65" s="59"/>
      <c r="Q65" s="59"/>
      <c r="R65" s="57" t="str">
        <f aca="true">IFERROR(IF(G65&lt;&gt;"",G65-TODAY(),""),"")</f>
        <v/>
      </c>
    </row>
    <row r="66" customFormat="false" ht="18" hidden="false" customHeight="true" outlineLevel="0" collapsed="false">
      <c r="A66" s="50" t="str">
        <f aca="false">IF(B66&lt;&gt;"",(ROW()-2)&amp;"","")</f>
        <v/>
      </c>
      <c r="B66" s="60"/>
      <c r="C66" s="60"/>
      <c r="D66" s="60"/>
      <c r="E66" s="60"/>
      <c r="F66" s="60"/>
      <c r="G66" s="60"/>
      <c r="H66" s="60"/>
      <c r="I66" s="47" t="n">
        <f aca="false">IFERROR(VLOOKUP(F66,S102:T107,2,FALSE()),0)</f>
        <v>0</v>
      </c>
      <c r="J66" s="60"/>
      <c r="K66" s="48" t="str">
        <f aca="false">IF(H66&gt;0,H66*I66,"")</f>
        <v/>
      </c>
      <c r="L66" s="49" t="str">
        <f aca="true">IFERROR(IF(N66&lt;&gt;"",TODAY()-N66,""),"")</f>
        <v/>
      </c>
      <c r="M66" s="60"/>
      <c r="N66" s="60"/>
      <c r="O66" s="60"/>
      <c r="P66" s="60"/>
      <c r="Q66" s="60"/>
      <c r="R66" s="49" t="str">
        <f aca="true">IFERROR(IF(G66&lt;&gt;"",G66-TODAY(),""),"")</f>
        <v/>
      </c>
    </row>
    <row r="67" customFormat="false" ht="18" hidden="false" customHeight="true" outlineLevel="0" collapsed="false">
      <c r="A67" s="42" t="str">
        <f aca="false">IF(B67&lt;&gt;"",(ROW()-2)&amp;"","")</f>
        <v/>
      </c>
      <c r="B67" s="59"/>
      <c r="C67" s="59"/>
      <c r="D67" s="59"/>
      <c r="E67" s="59"/>
      <c r="F67" s="59"/>
      <c r="G67" s="59"/>
      <c r="H67" s="59"/>
      <c r="I67" s="55" t="n">
        <f aca="false">IFERROR(VLOOKUP(F67,S102:T107,2,FALSE()),0)</f>
        <v>0</v>
      </c>
      <c r="J67" s="59"/>
      <c r="K67" s="56" t="str">
        <f aca="false">IF(H67&gt;0,H67*I67,"")</f>
        <v/>
      </c>
      <c r="L67" s="57" t="str">
        <f aca="true">IFERROR(IF(N67&lt;&gt;"",TODAY()-N67,""),"")</f>
        <v/>
      </c>
      <c r="M67" s="59"/>
      <c r="N67" s="59"/>
      <c r="O67" s="59"/>
      <c r="P67" s="59"/>
      <c r="Q67" s="59"/>
      <c r="R67" s="57" t="str">
        <f aca="true">IFERROR(IF(G67&lt;&gt;"",G67-TODAY(),""),"")</f>
        <v/>
      </c>
    </row>
    <row r="68" customFormat="false" ht="18" hidden="false" customHeight="true" outlineLevel="0" collapsed="false">
      <c r="A68" s="50" t="str">
        <f aca="false">IF(B68&lt;&gt;"",(ROW()-2)&amp;"","")</f>
        <v/>
      </c>
      <c r="B68" s="60"/>
      <c r="C68" s="60"/>
      <c r="D68" s="60"/>
      <c r="E68" s="60"/>
      <c r="F68" s="60"/>
      <c r="G68" s="60"/>
      <c r="H68" s="60"/>
      <c r="I68" s="47" t="n">
        <f aca="false">IFERROR(VLOOKUP(F68,S102:T107,2,FALSE()),0)</f>
        <v>0</v>
      </c>
      <c r="J68" s="60"/>
      <c r="K68" s="48" t="str">
        <f aca="false">IF(H68&gt;0,H68*I68,"")</f>
        <v/>
      </c>
      <c r="L68" s="49" t="str">
        <f aca="true">IFERROR(IF(N68&lt;&gt;"",TODAY()-N68,""),"")</f>
        <v/>
      </c>
      <c r="M68" s="60"/>
      <c r="N68" s="60"/>
      <c r="O68" s="60"/>
      <c r="P68" s="60"/>
      <c r="Q68" s="60"/>
      <c r="R68" s="49" t="str">
        <f aca="true">IFERROR(IF(G68&lt;&gt;"",G68-TODAY(),""),"")</f>
        <v/>
      </c>
    </row>
    <row r="69" customFormat="false" ht="18" hidden="false" customHeight="true" outlineLevel="0" collapsed="false">
      <c r="A69" s="42" t="str">
        <f aca="false">IF(B69&lt;&gt;"",(ROW()-2)&amp;"","")</f>
        <v/>
      </c>
      <c r="B69" s="59"/>
      <c r="C69" s="59"/>
      <c r="D69" s="59"/>
      <c r="E69" s="59"/>
      <c r="F69" s="59"/>
      <c r="G69" s="59"/>
      <c r="H69" s="59"/>
      <c r="I69" s="55" t="n">
        <f aca="false">IFERROR(VLOOKUP(F69,S102:T107,2,FALSE()),0)</f>
        <v>0</v>
      </c>
      <c r="J69" s="59"/>
      <c r="K69" s="56" t="str">
        <f aca="false">IF(H69&gt;0,H69*I69,"")</f>
        <v/>
      </c>
      <c r="L69" s="57" t="str">
        <f aca="true">IFERROR(IF(N69&lt;&gt;"",TODAY()-N69,""),"")</f>
        <v/>
      </c>
      <c r="M69" s="59"/>
      <c r="N69" s="59"/>
      <c r="O69" s="59"/>
      <c r="P69" s="59"/>
      <c r="Q69" s="59"/>
      <c r="R69" s="57" t="str">
        <f aca="true">IFERROR(IF(G69&lt;&gt;"",G69-TODAY(),""),"")</f>
        <v/>
      </c>
    </row>
    <row r="70" customFormat="false" ht="18" hidden="false" customHeight="true" outlineLevel="0" collapsed="false">
      <c r="A70" s="50" t="str">
        <f aca="false">IF(B70&lt;&gt;"",(ROW()-2)&amp;"","")</f>
        <v/>
      </c>
      <c r="B70" s="60"/>
      <c r="C70" s="60"/>
      <c r="D70" s="60"/>
      <c r="E70" s="60"/>
      <c r="F70" s="60"/>
      <c r="G70" s="60"/>
      <c r="H70" s="60"/>
      <c r="I70" s="47" t="n">
        <f aca="false">IFERROR(VLOOKUP(F70,S102:T107,2,FALSE()),0)</f>
        <v>0</v>
      </c>
      <c r="J70" s="60"/>
      <c r="K70" s="48" t="str">
        <f aca="false">IF(H70&gt;0,H70*I70,"")</f>
        <v/>
      </c>
      <c r="L70" s="49" t="str">
        <f aca="true">IFERROR(IF(N70&lt;&gt;"",TODAY()-N70,""),"")</f>
        <v/>
      </c>
      <c r="M70" s="60"/>
      <c r="N70" s="60"/>
      <c r="O70" s="60"/>
      <c r="P70" s="60"/>
      <c r="Q70" s="60"/>
      <c r="R70" s="49" t="str">
        <f aca="true">IFERROR(IF(G70&lt;&gt;"",G70-TODAY(),""),"")</f>
        <v/>
      </c>
    </row>
    <row r="71" customFormat="false" ht="18" hidden="false" customHeight="true" outlineLevel="0" collapsed="false">
      <c r="A71" s="42" t="str">
        <f aca="false">IF(B71&lt;&gt;"",(ROW()-2)&amp;"","")</f>
        <v/>
      </c>
      <c r="B71" s="59"/>
      <c r="C71" s="59"/>
      <c r="D71" s="59"/>
      <c r="E71" s="59"/>
      <c r="F71" s="59"/>
      <c r="G71" s="59"/>
      <c r="H71" s="59"/>
      <c r="I71" s="55" t="n">
        <f aca="false">IFERROR(VLOOKUP(F71,S102:T107,2,FALSE()),0)</f>
        <v>0</v>
      </c>
      <c r="J71" s="59"/>
      <c r="K71" s="56" t="str">
        <f aca="false">IF(H71&gt;0,H71*I71,"")</f>
        <v/>
      </c>
      <c r="L71" s="57" t="str">
        <f aca="true">IFERROR(IF(N71&lt;&gt;"",TODAY()-N71,""),"")</f>
        <v/>
      </c>
      <c r="M71" s="59"/>
      <c r="N71" s="59"/>
      <c r="O71" s="59"/>
      <c r="P71" s="59"/>
      <c r="Q71" s="59"/>
      <c r="R71" s="57" t="str">
        <f aca="true">IFERROR(IF(G71&lt;&gt;"",G71-TODAY(),""),"")</f>
        <v/>
      </c>
    </row>
    <row r="72" customFormat="false" ht="18" hidden="false" customHeight="true" outlineLevel="0" collapsed="false">
      <c r="A72" s="50" t="str">
        <f aca="false">IF(B72&lt;&gt;"",(ROW()-2)&amp;"","")</f>
        <v/>
      </c>
      <c r="B72" s="60"/>
      <c r="C72" s="60"/>
      <c r="D72" s="60"/>
      <c r="E72" s="60"/>
      <c r="F72" s="60"/>
      <c r="G72" s="60"/>
      <c r="H72" s="60"/>
      <c r="I72" s="47" t="n">
        <f aca="false">IFERROR(VLOOKUP(F72,S102:T107,2,FALSE()),0)</f>
        <v>0</v>
      </c>
      <c r="J72" s="60"/>
      <c r="K72" s="48" t="str">
        <f aca="false">IF(H72&gt;0,H72*I72,"")</f>
        <v/>
      </c>
      <c r="L72" s="49" t="str">
        <f aca="true">IFERROR(IF(N72&lt;&gt;"",TODAY()-N72,""),"")</f>
        <v/>
      </c>
      <c r="M72" s="60"/>
      <c r="N72" s="60"/>
      <c r="O72" s="60"/>
      <c r="P72" s="60"/>
      <c r="Q72" s="60"/>
      <c r="R72" s="49" t="str">
        <f aca="true">IFERROR(IF(G72&lt;&gt;"",G72-TODAY(),""),"")</f>
        <v/>
      </c>
    </row>
    <row r="73" customFormat="false" ht="18" hidden="false" customHeight="true" outlineLevel="0" collapsed="false">
      <c r="A73" s="42" t="str">
        <f aca="false">IF(B73&lt;&gt;"",(ROW()-2)&amp;"","")</f>
        <v/>
      </c>
      <c r="B73" s="59"/>
      <c r="C73" s="59"/>
      <c r="D73" s="59"/>
      <c r="E73" s="59"/>
      <c r="F73" s="59"/>
      <c r="G73" s="59"/>
      <c r="H73" s="59"/>
      <c r="I73" s="55" t="n">
        <f aca="false">IFERROR(VLOOKUP(F73,S102:T107,2,FALSE()),0)</f>
        <v>0</v>
      </c>
      <c r="J73" s="59"/>
      <c r="K73" s="56" t="str">
        <f aca="false">IF(H73&gt;0,H73*I73,"")</f>
        <v/>
      </c>
      <c r="L73" s="57" t="str">
        <f aca="true">IFERROR(IF(N73&lt;&gt;"",TODAY()-N73,""),"")</f>
        <v/>
      </c>
      <c r="M73" s="59"/>
      <c r="N73" s="59"/>
      <c r="O73" s="59"/>
      <c r="P73" s="59"/>
      <c r="Q73" s="59"/>
      <c r="R73" s="57" t="str">
        <f aca="true">IFERROR(IF(G73&lt;&gt;"",G73-TODAY(),""),"")</f>
        <v/>
      </c>
    </row>
    <row r="74" customFormat="false" ht="18" hidden="false" customHeight="true" outlineLevel="0" collapsed="false">
      <c r="A74" s="50" t="str">
        <f aca="false">IF(B74&lt;&gt;"",(ROW()-2)&amp;"","")</f>
        <v/>
      </c>
      <c r="B74" s="60"/>
      <c r="C74" s="60"/>
      <c r="D74" s="60"/>
      <c r="E74" s="60"/>
      <c r="F74" s="60"/>
      <c r="G74" s="60"/>
      <c r="H74" s="60"/>
      <c r="I74" s="47" t="n">
        <f aca="false">IFERROR(VLOOKUP(F74,S102:T107,2,FALSE()),0)</f>
        <v>0</v>
      </c>
      <c r="J74" s="60"/>
      <c r="K74" s="48" t="str">
        <f aca="false">IF(H74&gt;0,H74*I74,"")</f>
        <v/>
      </c>
      <c r="L74" s="49" t="str">
        <f aca="true">IFERROR(IF(N74&lt;&gt;"",TODAY()-N74,""),"")</f>
        <v/>
      </c>
      <c r="M74" s="60"/>
      <c r="N74" s="60"/>
      <c r="O74" s="60"/>
      <c r="P74" s="60"/>
      <c r="Q74" s="60"/>
      <c r="R74" s="49" t="str">
        <f aca="true">IFERROR(IF(G74&lt;&gt;"",G74-TODAY(),""),"")</f>
        <v/>
      </c>
    </row>
    <row r="75" customFormat="false" ht="18" hidden="false" customHeight="true" outlineLevel="0" collapsed="false">
      <c r="A75" s="42" t="str">
        <f aca="false">IF(B75&lt;&gt;"",(ROW()-2)&amp;"","")</f>
        <v/>
      </c>
      <c r="B75" s="59"/>
      <c r="C75" s="59"/>
      <c r="D75" s="59"/>
      <c r="E75" s="59"/>
      <c r="F75" s="59"/>
      <c r="G75" s="59"/>
      <c r="H75" s="59"/>
      <c r="I75" s="55" t="n">
        <f aca="false">IFERROR(VLOOKUP(F75,S102:T107,2,FALSE()),0)</f>
        <v>0</v>
      </c>
      <c r="J75" s="59"/>
      <c r="K75" s="56" t="str">
        <f aca="false">IF(H75&gt;0,H75*I75,"")</f>
        <v/>
      </c>
      <c r="L75" s="57" t="str">
        <f aca="true">IFERROR(IF(N75&lt;&gt;"",TODAY()-N75,""),"")</f>
        <v/>
      </c>
      <c r="M75" s="59"/>
      <c r="N75" s="59"/>
      <c r="O75" s="59"/>
      <c r="P75" s="59"/>
      <c r="Q75" s="59"/>
      <c r="R75" s="57" t="str">
        <f aca="true">IFERROR(IF(G75&lt;&gt;"",G75-TODAY(),""),"")</f>
        <v/>
      </c>
    </row>
    <row r="76" customFormat="false" ht="18" hidden="false" customHeight="true" outlineLevel="0" collapsed="false">
      <c r="A76" s="50" t="str">
        <f aca="false">IF(B76&lt;&gt;"",(ROW()-2)&amp;"","")</f>
        <v/>
      </c>
      <c r="B76" s="60"/>
      <c r="C76" s="60"/>
      <c r="D76" s="60"/>
      <c r="E76" s="60"/>
      <c r="F76" s="60"/>
      <c r="G76" s="60"/>
      <c r="H76" s="60"/>
      <c r="I76" s="47" t="n">
        <f aca="false">IFERROR(VLOOKUP(F76,S102:T107,2,FALSE()),0)</f>
        <v>0</v>
      </c>
      <c r="J76" s="60"/>
      <c r="K76" s="48" t="str">
        <f aca="false">IF(H76&gt;0,H76*I76,"")</f>
        <v/>
      </c>
      <c r="L76" s="49" t="str">
        <f aca="true">IFERROR(IF(N76&lt;&gt;"",TODAY()-N76,""),"")</f>
        <v/>
      </c>
      <c r="M76" s="60"/>
      <c r="N76" s="60"/>
      <c r="O76" s="60"/>
      <c r="P76" s="60"/>
      <c r="Q76" s="60"/>
      <c r="R76" s="49" t="str">
        <f aca="true">IFERROR(IF(G76&lt;&gt;"",G76-TODAY(),""),"")</f>
        <v/>
      </c>
    </row>
    <row r="77" customFormat="false" ht="18" hidden="false" customHeight="true" outlineLevel="0" collapsed="false">
      <c r="A77" s="42" t="str">
        <f aca="false">IF(B77&lt;&gt;"",(ROW()-2)&amp;"","")</f>
        <v/>
      </c>
      <c r="B77" s="59"/>
      <c r="C77" s="59"/>
      <c r="D77" s="59"/>
      <c r="E77" s="59"/>
      <c r="F77" s="59"/>
      <c r="G77" s="59"/>
      <c r="H77" s="59"/>
      <c r="I77" s="55" t="n">
        <f aca="false">IFERROR(VLOOKUP(F77,S102:T107,2,FALSE()),0)</f>
        <v>0</v>
      </c>
      <c r="J77" s="59"/>
      <c r="K77" s="56" t="str">
        <f aca="false">IF(H77&gt;0,H77*I77,"")</f>
        <v/>
      </c>
      <c r="L77" s="57" t="str">
        <f aca="true">IFERROR(IF(N77&lt;&gt;"",TODAY()-N77,""),"")</f>
        <v/>
      </c>
      <c r="M77" s="59"/>
      <c r="N77" s="59"/>
      <c r="O77" s="59"/>
      <c r="P77" s="59"/>
      <c r="Q77" s="59"/>
      <c r="R77" s="57" t="str">
        <f aca="true">IFERROR(IF(G77&lt;&gt;"",G77-TODAY(),""),"")</f>
        <v/>
      </c>
    </row>
    <row r="78" customFormat="false" ht="18" hidden="false" customHeight="true" outlineLevel="0" collapsed="false">
      <c r="A78" s="50" t="str">
        <f aca="false">IF(B78&lt;&gt;"",(ROW()-2)&amp;"","")</f>
        <v/>
      </c>
      <c r="B78" s="60"/>
      <c r="C78" s="60"/>
      <c r="D78" s="60"/>
      <c r="E78" s="60"/>
      <c r="F78" s="60"/>
      <c r="G78" s="60"/>
      <c r="H78" s="60"/>
      <c r="I78" s="47" t="n">
        <f aca="false">IFERROR(VLOOKUP(F78,S102:T107,2,FALSE()),0)</f>
        <v>0</v>
      </c>
      <c r="J78" s="60"/>
      <c r="K78" s="48" t="str">
        <f aca="false">IF(H78&gt;0,H78*I78,"")</f>
        <v/>
      </c>
      <c r="L78" s="49" t="str">
        <f aca="true">IFERROR(IF(N78&lt;&gt;"",TODAY()-N78,""),"")</f>
        <v/>
      </c>
      <c r="M78" s="60"/>
      <c r="N78" s="60"/>
      <c r="O78" s="60"/>
      <c r="P78" s="60"/>
      <c r="Q78" s="60"/>
      <c r="R78" s="49" t="str">
        <f aca="true">IFERROR(IF(G78&lt;&gt;"",G78-TODAY(),""),"")</f>
        <v/>
      </c>
    </row>
    <row r="79" customFormat="false" ht="18" hidden="false" customHeight="true" outlineLevel="0" collapsed="false">
      <c r="A79" s="42" t="str">
        <f aca="false">IF(B79&lt;&gt;"",(ROW()-2)&amp;"","")</f>
        <v/>
      </c>
      <c r="B79" s="59"/>
      <c r="C79" s="59"/>
      <c r="D79" s="59"/>
      <c r="E79" s="59"/>
      <c r="F79" s="59"/>
      <c r="G79" s="59"/>
      <c r="H79" s="59"/>
      <c r="I79" s="55" t="n">
        <f aca="false">IFERROR(VLOOKUP(F79,S102:T107,2,FALSE()),0)</f>
        <v>0</v>
      </c>
      <c r="J79" s="59"/>
      <c r="K79" s="56" t="str">
        <f aca="false">IF(H79&gt;0,H79*I79,"")</f>
        <v/>
      </c>
      <c r="L79" s="57" t="str">
        <f aca="true">IFERROR(IF(N79&lt;&gt;"",TODAY()-N79,""),"")</f>
        <v/>
      </c>
      <c r="M79" s="59"/>
      <c r="N79" s="59"/>
      <c r="O79" s="59"/>
      <c r="P79" s="59"/>
      <c r="Q79" s="59"/>
      <c r="R79" s="57" t="str">
        <f aca="true">IFERROR(IF(G79&lt;&gt;"",G79-TODAY(),""),"")</f>
        <v/>
      </c>
    </row>
    <row r="80" customFormat="false" ht="18" hidden="false" customHeight="true" outlineLevel="0" collapsed="false">
      <c r="A80" s="50" t="str">
        <f aca="false">IF(B80&lt;&gt;"",(ROW()-2)&amp;"","")</f>
        <v/>
      </c>
      <c r="B80" s="60"/>
      <c r="C80" s="60"/>
      <c r="D80" s="60"/>
      <c r="E80" s="60"/>
      <c r="F80" s="60"/>
      <c r="G80" s="60"/>
      <c r="H80" s="60"/>
      <c r="I80" s="47" t="n">
        <f aca="false">IFERROR(VLOOKUP(F80,S102:T107,2,FALSE()),0)</f>
        <v>0</v>
      </c>
      <c r="J80" s="60"/>
      <c r="K80" s="48" t="str">
        <f aca="false">IF(H80&gt;0,H80*I80,"")</f>
        <v/>
      </c>
      <c r="L80" s="49" t="str">
        <f aca="true">IFERROR(IF(N80&lt;&gt;"",TODAY()-N80,""),"")</f>
        <v/>
      </c>
      <c r="M80" s="60"/>
      <c r="N80" s="60"/>
      <c r="O80" s="60"/>
      <c r="P80" s="60"/>
      <c r="Q80" s="60"/>
      <c r="R80" s="49" t="str">
        <f aca="true">IFERROR(IF(G80&lt;&gt;"",G80-TODAY(),""),"")</f>
        <v/>
      </c>
    </row>
    <row r="81" customFormat="false" ht="18" hidden="false" customHeight="true" outlineLevel="0" collapsed="false">
      <c r="A81" s="42" t="str">
        <f aca="false">IF(B81&lt;&gt;"",(ROW()-2)&amp;"","")</f>
        <v/>
      </c>
      <c r="B81" s="59"/>
      <c r="C81" s="59"/>
      <c r="D81" s="59"/>
      <c r="E81" s="59"/>
      <c r="F81" s="59"/>
      <c r="G81" s="59"/>
      <c r="H81" s="59"/>
      <c r="I81" s="55" t="n">
        <f aca="false">IFERROR(VLOOKUP(F81,S102:T107,2,FALSE()),0)</f>
        <v>0</v>
      </c>
      <c r="J81" s="59"/>
      <c r="K81" s="56" t="str">
        <f aca="false">IF(H81&gt;0,H81*I81,"")</f>
        <v/>
      </c>
      <c r="L81" s="57" t="str">
        <f aca="true">IFERROR(IF(N81&lt;&gt;"",TODAY()-N81,""),"")</f>
        <v/>
      </c>
      <c r="M81" s="59"/>
      <c r="N81" s="59"/>
      <c r="O81" s="59"/>
      <c r="P81" s="59"/>
      <c r="Q81" s="59"/>
      <c r="R81" s="57" t="str">
        <f aca="true">IFERROR(IF(G81&lt;&gt;"",G81-TODAY(),""),"")</f>
        <v/>
      </c>
    </row>
    <row r="82" customFormat="false" ht="18" hidden="false" customHeight="true" outlineLevel="0" collapsed="false">
      <c r="A82" s="50" t="str">
        <f aca="false">IF(B82&lt;&gt;"",(ROW()-2)&amp;"","")</f>
        <v/>
      </c>
      <c r="B82" s="60"/>
      <c r="C82" s="60"/>
      <c r="D82" s="60"/>
      <c r="E82" s="60"/>
      <c r="F82" s="60"/>
      <c r="G82" s="60"/>
      <c r="H82" s="60"/>
      <c r="I82" s="47" t="n">
        <f aca="false">IFERROR(VLOOKUP(F82,S102:T107,2,FALSE()),0)</f>
        <v>0</v>
      </c>
      <c r="J82" s="60"/>
      <c r="K82" s="48" t="str">
        <f aca="false">IF(H82&gt;0,H82*I82,"")</f>
        <v/>
      </c>
      <c r="L82" s="49" t="str">
        <f aca="true">IFERROR(IF(N82&lt;&gt;"",TODAY()-N82,""),"")</f>
        <v/>
      </c>
      <c r="M82" s="60"/>
      <c r="N82" s="60"/>
      <c r="O82" s="60"/>
      <c r="P82" s="60"/>
      <c r="Q82" s="60"/>
      <c r="R82" s="49" t="str">
        <f aca="true">IFERROR(IF(G82&lt;&gt;"",G82-TODAY(),""),"")</f>
        <v/>
      </c>
    </row>
    <row r="83" customFormat="false" ht="18" hidden="false" customHeight="true" outlineLevel="0" collapsed="false">
      <c r="A83" s="42" t="str">
        <f aca="false">IF(B83&lt;&gt;"",(ROW()-2)&amp;"","")</f>
        <v/>
      </c>
      <c r="B83" s="59"/>
      <c r="C83" s="59"/>
      <c r="D83" s="59"/>
      <c r="E83" s="59"/>
      <c r="F83" s="59"/>
      <c r="G83" s="59"/>
      <c r="H83" s="59"/>
      <c r="I83" s="55" t="n">
        <f aca="false">IFERROR(VLOOKUP(F83,S102:T107,2,FALSE()),0)</f>
        <v>0</v>
      </c>
      <c r="J83" s="59"/>
      <c r="K83" s="56" t="str">
        <f aca="false">IF(H83&gt;0,H83*I83,"")</f>
        <v/>
      </c>
      <c r="L83" s="57" t="str">
        <f aca="true">IFERROR(IF(N83&lt;&gt;"",TODAY()-N83,""),"")</f>
        <v/>
      </c>
      <c r="M83" s="59"/>
      <c r="N83" s="59"/>
      <c r="O83" s="59"/>
      <c r="P83" s="59"/>
      <c r="Q83" s="59"/>
      <c r="R83" s="57" t="str">
        <f aca="true">IFERROR(IF(G83&lt;&gt;"",G83-TODAY(),""),"")</f>
        <v/>
      </c>
    </row>
    <row r="84" customFormat="false" ht="18" hidden="false" customHeight="true" outlineLevel="0" collapsed="false">
      <c r="A84" s="50" t="str">
        <f aca="false">IF(B84&lt;&gt;"",(ROW()-2)&amp;"","")</f>
        <v/>
      </c>
      <c r="B84" s="60"/>
      <c r="C84" s="60"/>
      <c r="D84" s="60"/>
      <c r="E84" s="60"/>
      <c r="F84" s="60"/>
      <c r="G84" s="60"/>
      <c r="H84" s="60"/>
      <c r="I84" s="47" t="n">
        <f aca="false">IFERROR(VLOOKUP(F84,S102:T107,2,FALSE()),0)</f>
        <v>0</v>
      </c>
      <c r="J84" s="60"/>
      <c r="K84" s="48" t="str">
        <f aca="false">IF(H84&gt;0,H84*I84,"")</f>
        <v/>
      </c>
      <c r="L84" s="49" t="str">
        <f aca="true">IFERROR(IF(N84&lt;&gt;"",TODAY()-N84,""),"")</f>
        <v/>
      </c>
      <c r="M84" s="60"/>
      <c r="N84" s="60"/>
      <c r="O84" s="60"/>
      <c r="P84" s="60"/>
      <c r="Q84" s="60"/>
      <c r="R84" s="49" t="str">
        <f aca="true">IFERROR(IF(G84&lt;&gt;"",G84-TODAY(),""),"")</f>
        <v/>
      </c>
    </row>
    <row r="85" customFormat="false" ht="18" hidden="false" customHeight="true" outlineLevel="0" collapsed="false">
      <c r="A85" s="42" t="str">
        <f aca="false">IF(B85&lt;&gt;"",(ROW()-2)&amp;"","")</f>
        <v/>
      </c>
      <c r="B85" s="59"/>
      <c r="C85" s="59"/>
      <c r="D85" s="59"/>
      <c r="E85" s="59"/>
      <c r="F85" s="59"/>
      <c r="G85" s="59"/>
      <c r="H85" s="59"/>
      <c r="I85" s="55" t="n">
        <f aca="false">IFERROR(VLOOKUP(F85,S102:T107,2,FALSE()),0)</f>
        <v>0</v>
      </c>
      <c r="J85" s="59"/>
      <c r="K85" s="56" t="str">
        <f aca="false">IF(H85&gt;0,H85*I85,"")</f>
        <v/>
      </c>
      <c r="L85" s="57" t="str">
        <f aca="true">IFERROR(IF(N85&lt;&gt;"",TODAY()-N85,""),"")</f>
        <v/>
      </c>
      <c r="M85" s="59"/>
      <c r="N85" s="59"/>
      <c r="O85" s="59"/>
      <c r="P85" s="59"/>
      <c r="Q85" s="59"/>
      <c r="R85" s="57" t="str">
        <f aca="true">IFERROR(IF(G85&lt;&gt;"",G85-TODAY(),""),"")</f>
        <v/>
      </c>
    </row>
    <row r="86" customFormat="false" ht="18" hidden="false" customHeight="true" outlineLevel="0" collapsed="false">
      <c r="A86" s="50" t="str">
        <f aca="false">IF(B86&lt;&gt;"",(ROW()-2)&amp;"","")</f>
        <v/>
      </c>
      <c r="B86" s="60"/>
      <c r="C86" s="60"/>
      <c r="D86" s="60"/>
      <c r="E86" s="60"/>
      <c r="F86" s="60"/>
      <c r="G86" s="60"/>
      <c r="H86" s="60"/>
      <c r="I86" s="47" t="n">
        <f aca="false">IFERROR(VLOOKUP(F86,S102:T107,2,FALSE()),0)</f>
        <v>0</v>
      </c>
      <c r="J86" s="60"/>
      <c r="K86" s="48" t="str">
        <f aca="false">IF(H86&gt;0,H86*I86,"")</f>
        <v/>
      </c>
      <c r="L86" s="49" t="str">
        <f aca="true">IFERROR(IF(N86&lt;&gt;"",TODAY()-N86,""),"")</f>
        <v/>
      </c>
      <c r="M86" s="60"/>
      <c r="N86" s="60"/>
      <c r="O86" s="60"/>
      <c r="P86" s="60"/>
      <c r="Q86" s="60"/>
      <c r="R86" s="49" t="str">
        <f aca="true">IFERROR(IF(G86&lt;&gt;"",G86-TODAY(),""),"")</f>
        <v/>
      </c>
    </row>
    <row r="87" customFormat="false" ht="18" hidden="false" customHeight="true" outlineLevel="0" collapsed="false">
      <c r="A87" s="42" t="str">
        <f aca="false">IF(B87&lt;&gt;"",(ROW()-2)&amp;"","")</f>
        <v/>
      </c>
      <c r="B87" s="59"/>
      <c r="C87" s="59"/>
      <c r="D87" s="59"/>
      <c r="E87" s="59"/>
      <c r="F87" s="59"/>
      <c r="G87" s="59"/>
      <c r="H87" s="59"/>
      <c r="I87" s="55" t="n">
        <f aca="false">IFERROR(VLOOKUP(F87,S102:T107,2,FALSE()),0)</f>
        <v>0</v>
      </c>
      <c r="J87" s="59"/>
      <c r="K87" s="56" t="str">
        <f aca="false">IF(H87&gt;0,H87*I87,"")</f>
        <v/>
      </c>
      <c r="L87" s="57" t="str">
        <f aca="true">IFERROR(IF(N87&lt;&gt;"",TODAY()-N87,""),"")</f>
        <v/>
      </c>
      <c r="M87" s="59"/>
      <c r="N87" s="59"/>
      <c r="O87" s="59"/>
      <c r="P87" s="59"/>
      <c r="Q87" s="59"/>
      <c r="R87" s="57" t="str">
        <f aca="true">IFERROR(IF(G87&lt;&gt;"",G87-TODAY(),""),"")</f>
        <v/>
      </c>
    </row>
    <row r="88" customFormat="false" ht="18" hidden="false" customHeight="true" outlineLevel="0" collapsed="false">
      <c r="A88" s="50" t="str">
        <f aca="false">IF(B88&lt;&gt;"",(ROW()-2)&amp;"","")</f>
        <v/>
      </c>
      <c r="B88" s="60"/>
      <c r="C88" s="60"/>
      <c r="D88" s="60"/>
      <c r="E88" s="60"/>
      <c r="F88" s="60"/>
      <c r="G88" s="60"/>
      <c r="H88" s="60"/>
      <c r="I88" s="47" t="n">
        <f aca="false">IFERROR(VLOOKUP(F88,S102:T107,2,FALSE()),0)</f>
        <v>0</v>
      </c>
      <c r="J88" s="60"/>
      <c r="K88" s="48" t="str">
        <f aca="false">IF(H88&gt;0,H88*I88,"")</f>
        <v/>
      </c>
      <c r="L88" s="49" t="str">
        <f aca="true">IFERROR(IF(N88&lt;&gt;"",TODAY()-N88,""),"")</f>
        <v/>
      </c>
      <c r="M88" s="60"/>
      <c r="N88" s="60"/>
      <c r="O88" s="60"/>
      <c r="P88" s="60"/>
      <c r="Q88" s="60"/>
      <c r="R88" s="49" t="str">
        <f aca="true">IFERROR(IF(G88&lt;&gt;"",G88-TODAY(),""),"")</f>
        <v/>
      </c>
    </row>
    <row r="89" customFormat="false" ht="18" hidden="false" customHeight="true" outlineLevel="0" collapsed="false">
      <c r="A89" s="42" t="str">
        <f aca="false">IF(B89&lt;&gt;"",(ROW()-2)&amp;"","")</f>
        <v/>
      </c>
      <c r="B89" s="59"/>
      <c r="C89" s="59"/>
      <c r="D89" s="59"/>
      <c r="E89" s="59"/>
      <c r="F89" s="59"/>
      <c r="G89" s="59"/>
      <c r="H89" s="59"/>
      <c r="I89" s="55" t="n">
        <f aca="false">IFERROR(VLOOKUP(F89,S102:T107,2,FALSE()),0)</f>
        <v>0</v>
      </c>
      <c r="J89" s="59"/>
      <c r="K89" s="56" t="str">
        <f aca="false">IF(H89&gt;0,H89*I89,"")</f>
        <v/>
      </c>
      <c r="L89" s="57" t="str">
        <f aca="true">IFERROR(IF(N89&lt;&gt;"",TODAY()-N89,""),"")</f>
        <v/>
      </c>
      <c r="M89" s="59"/>
      <c r="N89" s="59"/>
      <c r="O89" s="59"/>
      <c r="P89" s="59"/>
      <c r="Q89" s="59"/>
      <c r="R89" s="57" t="str">
        <f aca="true">IFERROR(IF(G89&lt;&gt;"",G89-TODAY(),""),"")</f>
        <v/>
      </c>
    </row>
    <row r="90" customFormat="false" ht="18" hidden="false" customHeight="true" outlineLevel="0" collapsed="false">
      <c r="A90" s="50" t="str">
        <f aca="false">IF(B90&lt;&gt;"",(ROW()-2)&amp;"","")</f>
        <v/>
      </c>
      <c r="B90" s="60"/>
      <c r="C90" s="60"/>
      <c r="D90" s="60"/>
      <c r="E90" s="60"/>
      <c r="F90" s="60"/>
      <c r="G90" s="60"/>
      <c r="H90" s="60"/>
      <c r="I90" s="47" t="n">
        <f aca="false">IFERROR(VLOOKUP(F90,S102:T107,2,FALSE()),0)</f>
        <v>0</v>
      </c>
      <c r="J90" s="60"/>
      <c r="K90" s="48" t="str">
        <f aca="false">IF(H90&gt;0,H90*I90,"")</f>
        <v/>
      </c>
      <c r="L90" s="49" t="str">
        <f aca="true">IFERROR(IF(N90&lt;&gt;"",TODAY()-N90,""),"")</f>
        <v/>
      </c>
      <c r="M90" s="60"/>
      <c r="N90" s="60"/>
      <c r="O90" s="60"/>
      <c r="P90" s="60"/>
      <c r="Q90" s="60"/>
      <c r="R90" s="49" t="str">
        <f aca="true">IFERROR(IF(G90&lt;&gt;"",G90-TODAY(),""),"")</f>
        <v/>
      </c>
    </row>
    <row r="91" customFormat="false" ht="18" hidden="false" customHeight="true" outlineLevel="0" collapsed="false">
      <c r="A91" s="42" t="str">
        <f aca="false">IF(B91&lt;&gt;"",(ROW()-2)&amp;"","")</f>
        <v/>
      </c>
      <c r="B91" s="59"/>
      <c r="C91" s="59"/>
      <c r="D91" s="59"/>
      <c r="E91" s="59"/>
      <c r="F91" s="59"/>
      <c r="G91" s="59"/>
      <c r="H91" s="59"/>
      <c r="I91" s="55" t="n">
        <f aca="false">IFERROR(VLOOKUP(F91,S102:T107,2,FALSE()),0)</f>
        <v>0</v>
      </c>
      <c r="J91" s="59"/>
      <c r="K91" s="56" t="str">
        <f aca="false">IF(H91&gt;0,H91*I91,"")</f>
        <v/>
      </c>
      <c r="L91" s="57" t="str">
        <f aca="true">IFERROR(IF(N91&lt;&gt;"",TODAY()-N91,""),"")</f>
        <v/>
      </c>
      <c r="M91" s="59"/>
      <c r="N91" s="59"/>
      <c r="O91" s="59"/>
      <c r="P91" s="59"/>
      <c r="Q91" s="59"/>
      <c r="R91" s="57" t="str">
        <f aca="true">IFERROR(IF(G91&lt;&gt;"",G91-TODAY(),""),"")</f>
        <v/>
      </c>
    </row>
    <row r="92" customFormat="false" ht="18" hidden="false" customHeight="true" outlineLevel="0" collapsed="false">
      <c r="A92" s="50" t="str">
        <f aca="false">IF(B92&lt;&gt;"",(ROW()-2)&amp;"","")</f>
        <v/>
      </c>
      <c r="B92" s="60"/>
      <c r="C92" s="60"/>
      <c r="D92" s="60"/>
      <c r="E92" s="60"/>
      <c r="F92" s="60"/>
      <c r="G92" s="60"/>
      <c r="H92" s="60"/>
      <c r="I92" s="47" t="n">
        <f aca="false">IFERROR(VLOOKUP(F92,S102:T107,2,FALSE()),0)</f>
        <v>0</v>
      </c>
      <c r="J92" s="60"/>
      <c r="K92" s="48" t="str">
        <f aca="false">IF(H92&gt;0,H92*I92,"")</f>
        <v/>
      </c>
      <c r="L92" s="49" t="str">
        <f aca="true">IFERROR(IF(N92&lt;&gt;"",TODAY()-N92,""),"")</f>
        <v/>
      </c>
      <c r="M92" s="60"/>
      <c r="N92" s="60"/>
      <c r="O92" s="60"/>
      <c r="P92" s="60"/>
      <c r="Q92" s="60"/>
      <c r="R92" s="49" t="str">
        <f aca="true">IFERROR(IF(G92&lt;&gt;"",G92-TODAY(),""),"")</f>
        <v/>
      </c>
    </row>
    <row r="93" customFormat="false" ht="18" hidden="false" customHeight="true" outlineLevel="0" collapsed="false">
      <c r="A93" s="42" t="str">
        <f aca="false">IF(B93&lt;&gt;"",(ROW()-2)&amp;"","")</f>
        <v/>
      </c>
      <c r="B93" s="59"/>
      <c r="C93" s="59"/>
      <c r="D93" s="59"/>
      <c r="E93" s="59"/>
      <c r="F93" s="59"/>
      <c r="G93" s="59"/>
      <c r="H93" s="59"/>
      <c r="I93" s="55" t="n">
        <f aca="false">IFERROR(VLOOKUP(F93,S102:T107,2,FALSE()),0)</f>
        <v>0</v>
      </c>
      <c r="J93" s="59"/>
      <c r="K93" s="56" t="str">
        <f aca="false">IF(H93&gt;0,H93*I93,"")</f>
        <v/>
      </c>
      <c r="L93" s="57" t="str">
        <f aca="true">IFERROR(IF(N93&lt;&gt;"",TODAY()-N93,""),"")</f>
        <v/>
      </c>
      <c r="M93" s="59"/>
      <c r="N93" s="59"/>
      <c r="O93" s="59"/>
      <c r="P93" s="59"/>
      <c r="Q93" s="59"/>
      <c r="R93" s="57" t="str">
        <f aca="true">IFERROR(IF(G93&lt;&gt;"",G93-TODAY(),""),"")</f>
        <v/>
      </c>
    </row>
    <row r="94" customFormat="false" ht="18" hidden="false" customHeight="true" outlineLevel="0" collapsed="false">
      <c r="A94" s="50" t="str">
        <f aca="false">IF(B94&lt;&gt;"",(ROW()-2)&amp;"","")</f>
        <v/>
      </c>
      <c r="B94" s="60"/>
      <c r="C94" s="60"/>
      <c r="D94" s="60"/>
      <c r="E94" s="60"/>
      <c r="F94" s="60"/>
      <c r="G94" s="60"/>
      <c r="H94" s="60"/>
      <c r="I94" s="47" t="n">
        <f aca="false">IFERROR(VLOOKUP(F94,S102:T107,2,FALSE()),0)</f>
        <v>0</v>
      </c>
      <c r="J94" s="60"/>
      <c r="K94" s="48" t="str">
        <f aca="false">IF(H94&gt;0,H94*I94,"")</f>
        <v/>
      </c>
      <c r="L94" s="49" t="str">
        <f aca="true">IFERROR(IF(N94&lt;&gt;"",TODAY()-N94,""),"")</f>
        <v/>
      </c>
      <c r="M94" s="60"/>
      <c r="N94" s="60"/>
      <c r="O94" s="60"/>
      <c r="P94" s="60"/>
      <c r="Q94" s="60"/>
      <c r="R94" s="49" t="str">
        <f aca="true">IFERROR(IF(G94&lt;&gt;"",G94-TODAY(),""),"")</f>
        <v/>
      </c>
    </row>
    <row r="95" customFormat="false" ht="18" hidden="false" customHeight="true" outlineLevel="0" collapsed="false">
      <c r="A95" s="42" t="str">
        <f aca="false">IF(B95&lt;&gt;"",(ROW()-2)&amp;"","")</f>
        <v/>
      </c>
      <c r="B95" s="59"/>
      <c r="C95" s="59"/>
      <c r="D95" s="59"/>
      <c r="E95" s="59"/>
      <c r="F95" s="59"/>
      <c r="G95" s="59"/>
      <c r="H95" s="59"/>
      <c r="I95" s="55" t="n">
        <f aca="false">IFERROR(VLOOKUP(F95,S102:T107,2,FALSE()),0)</f>
        <v>0</v>
      </c>
      <c r="J95" s="59"/>
      <c r="K95" s="56" t="str">
        <f aca="false">IF(H95&gt;0,H95*I95,"")</f>
        <v/>
      </c>
      <c r="L95" s="57" t="str">
        <f aca="true">IFERROR(IF(N95&lt;&gt;"",TODAY()-N95,""),"")</f>
        <v/>
      </c>
      <c r="M95" s="59"/>
      <c r="N95" s="59"/>
      <c r="O95" s="59"/>
      <c r="P95" s="59"/>
      <c r="Q95" s="59"/>
      <c r="R95" s="57" t="str">
        <f aca="true">IFERROR(IF(G95&lt;&gt;"",G95-TODAY(),""),"")</f>
        <v/>
      </c>
    </row>
    <row r="96" customFormat="false" ht="18" hidden="false" customHeight="true" outlineLevel="0" collapsed="false">
      <c r="A96" s="50" t="str">
        <f aca="false">IF(B96&lt;&gt;"",(ROW()-2)&amp;"","")</f>
        <v/>
      </c>
      <c r="B96" s="60"/>
      <c r="C96" s="60"/>
      <c r="D96" s="60"/>
      <c r="E96" s="60"/>
      <c r="F96" s="60"/>
      <c r="G96" s="60"/>
      <c r="H96" s="60"/>
      <c r="I96" s="47" t="n">
        <f aca="false">IFERROR(VLOOKUP(F96,S102:T107,2,FALSE()),0)</f>
        <v>0</v>
      </c>
      <c r="J96" s="60"/>
      <c r="K96" s="48" t="str">
        <f aca="false">IF(H96&gt;0,H96*I96,"")</f>
        <v/>
      </c>
      <c r="L96" s="49" t="str">
        <f aca="true">IFERROR(IF(N96&lt;&gt;"",TODAY()-N96,""),"")</f>
        <v/>
      </c>
      <c r="M96" s="60"/>
      <c r="N96" s="60"/>
      <c r="O96" s="60"/>
      <c r="P96" s="60"/>
      <c r="Q96" s="60"/>
      <c r="R96" s="49" t="str">
        <f aca="true">IFERROR(IF(G96&lt;&gt;"",G96-TODAY(),""),"")</f>
        <v/>
      </c>
    </row>
    <row r="97" customFormat="false" ht="18" hidden="false" customHeight="true" outlineLevel="0" collapsed="false">
      <c r="A97" s="42" t="str">
        <f aca="false">IF(B97&lt;&gt;"",(ROW()-2)&amp;"","")</f>
        <v/>
      </c>
      <c r="B97" s="59"/>
      <c r="C97" s="59"/>
      <c r="D97" s="59"/>
      <c r="E97" s="59"/>
      <c r="F97" s="59"/>
      <c r="G97" s="59"/>
      <c r="H97" s="59"/>
      <c r="I97" s="55" t="n">
        <f aca="false">IFERROR(VLOOKUP(F97,S102:T107,2,FALSE()),0)</f>
        <v>0</v>
      </c>
      <c r="J97" s="59"/>
      <c r="K97" s="56" t="str">
        <f aca="false">IF(H97&gt;0,H97*I97,"")</f>
        <v/>
      </c>
      <c r="L97" s="57" t="str">
        <f aca="true">IFERROR(IF(N97&lt;&gt;"",TODAY()-N97,""),"")</f>
        <v/>
      </c>
      <c r="M97" s="59"/>
      <c r="N97" s="59"/>
      <c r="O97" s="59"/>
      <c r="P97" s="59"/>
      <c r="Q97" s="59"/>
      <c r="R97" s="57" t="str">
        <f aca="true">IFERROR(IF(G97&lt;&gt;"",G97-TODAY(),""),"")</f>
        <v/>
      </c>
    </row>
    <row r="98" customFormat="false" ht="18" hidden="false" customHeight="true" outlineLevel="0" collapsed="false">
      <c r="A98" s="50" t="str">
        <f aca="false">IF(B98&lt;&gt;"",(ROW()-2)&amp;"","")</f>
        <v/>
      </c>
      <c r="B98" s="60"/>
      <c r="C98" s="60"/>
      <c r="D98" s="60"/>
      <c r="E98" s="60"/>
      <c r="F98" s="60"/>
      <c r="G98" s="60"/>
      <c r="H98" s="60"/>
      <c r="I98" s="47" t="n">
        <f aca="false">IFERROR(VLOOKUP(F98,S102:T107,2,FALSE()),0)</f>
        <v>0</v>
      </c>
      <c r="J98" s="60"/>
      <c r="K98" s="48" t="str">
        <f aca="false">IF(H98&gt;0,H98*I98,"")</f>
        <v/>
      </c>
      <c r="L98" s="49" t="str">
        <f aca="true">IFERROR(IF(N98&lt;&gt;"",TODAY()-N98,""),"")</f>
        <v/>
      </c>
      <c r="M98" s="60"/>
      <c r="N98" s="60"/>
      <c r="O98" s="60"/>
      <c r="P98" s="60"/>
      <c r="Q98" s="60"/>
      <c r="R98" s="49" t="str">
        <f aca="true">IFERROR(IF(G98&lt;&gt;"",G98-TODAY(),""),"")</f>
        <v/>
      </c>
    </row>
    <row r="99" customFormat="false" ht="18" hidden="false" customHeight="true" outlineLevel="0" collapsed="false">
      <c r="A99" s="42" t="str">
        <f aca="false">IF(B99&lt;&gt;"",(ROW()-2)&amp;"","")</f>
        <v/>
      </c>
      <c r="B99" s="59"/>
      <c r="C99" s="59"/>
      <c r="D99" s="59"/>
      <c r="E99" s="59"/>
      <c r="F99" s="59"/>
      <c r="G99" s="59"/>
      <c r="H99" s="59"/>
      <c r="I99" s="55" t="n">
        <f aca="false">IFERROR(VLOOKUP(F99,S102:T107,2,FALSE()),0)</f>
        <v>0</v>
      </c>
      <c r="J99" s="59"/>
      <c r="K99" s="56" t="str">
        <f aca="false">IF(H99&gt;0,H99*I99,"")</f>
        <v/>
      </c>
      <c r="L99" s="57" t="str">
        <f aca="true">IFERROR(IF(N99&lt;&gt;"",TODAY()-N99,""),"")</f>
        <v/>
      </c>
      <c r="M99" s="59"/>
      <c r="N99" s="59"/>
      <c r="O99" s="59"/>
      <c r="P99" s="59"/>
      <c r="Q99" s="59"/>
      <c r="R99" s="57" t="str">
        <f aca="true">IFERROR(IF(G99&lt;&gt;"",G99-TODAY(),""),"")</f>
        <v/>
      </c>
    </row>
    <row r="100" customFormat="false" ht="18" hidden="false" customHeight="true" outlineLevel="0" collapsed="false">
      <c r="A100" s="50" t="str">
        <f aca="false">IF(B100&lt;&gt;"",(ROW()-2)&amp;"","")</f>
        <v/>
      </c>
      <c r="B100" s="60"/>
      <c r="C100" s="60"/>
      <c r="D100" s="60"/>
      <c r="E100" s="60"/>
      <c r="F100" s="60"/>
      <c r="G100" s="60"/>
      <c r="H100" s="60"/>
      <c r="I100" s="47" t="n">
        <f aca="false">IFERROR(VLOOKUP(F100,S102:T107,2,FALSE()),0)</f>
        <v>0</v>
      </c>
      <c r="J100" s="60"/>
      <c r="K100" s="48" t="str">
        <f aca="false">IF(H100&gt;0,H100*I100,"")</f>
        <v/>
      </c>
      <c r="L100" s="49" t="str">
        <f aca="true">IFERROR(IF(N100&lt;&gt;"",TODAY()-N100,""),"")</f>
        <v/>
      </c>
      <c r="M100" s="60"/>
      <c r="N100" s="60"/>
      <c r="O100" s="60"/>
      <c r="P100" s="60"/>
      <c r="Q100" s="60"/>
      <c r="R100" s="49" t="str">
        <f aca="true">IFERROR(IF(G100&lt;&gt;"",G100-TODAY(),""),"")</f>
        <v/>
      </c>
    </row>
    <row r="102" customFormat="false" ht="15" hidden="true" customHeight="true" outlineLevel="0" collapsed="false">
      <c r="S102" s="1" t="s">
        <v>8</v>
      </c>
      <c r="T102" s="1" t="n">
        <v>0.1</v>
      </c>
    </row>
    <row r="103" customFormat="false" ht="15" hidden="true" customHeight="true" outlineLevel="0" collapsed="false">
      <c r="S103" s="1" t="s">
        <v>9</v>
      </c>
      <c r="T103" s="1" t="n">
        <v>0.25</v>
      </c>
    </row>
    <row r="104" customFormat="false" ht="15" hidden="true" customHeight="true" outlineLevel="0" collapsed="false">
      <c r="S104" s="1" t="s">
        <v>10</v>
      </c>
      <c r="T104" s="1" t="n">
        <v>0.5</v>
      </c>
    </row>
    <row r="105" customFormat="false" ht="15" hidden="true" customHeight="true" outlineLevel="0" collapsed="false">
      <c r="S105" s="1" t="s">
        <v>11</v>
      </c>
      <c r="T105" s="1" t="n">
        <v>0.75</v>
      </c>
    </row>
    <row r="106" customFormat="false" ht="15" hidden="true" customHeight="true" outlineLevel="0" collapsed="false">
      <c r="S106" s="1" t="s">
        <v>20</v>
      </c>
      <c r="T106" s="1" t="n">
        <v>1</v>
      </c>
    </row>
    <row r="107" customFormat="false" ht="15" hidden="true" customHeight="true" outlineLevel="0" collapsed="false">
      <c r="S107" s="1" t="s">
        <v>21</v>
      </c>
      <c r="T107" s="1" t="n">
        <v>0</v>
      </c>
    </row>
    <row r="108" customFormat="false" ht="15" hidden="true" customHeight="true" outlineLevel="0" collapsed="false"/>
  </sheetData>
  <mergeCells count="1">
    <mergeCell ref="A1:R1"/>
  </mergeCells>
  <conditionalFormatting sqref="A3:R100">
    <cfRule type="expression" priority="2" aboveAverage="0" equalAverage="0" bottom="0" percent="0" rank="0" text="" dxfId="0">
      <formula>$F3="Won"</formula>
    </cfRule>
    <cfRule type="expression" priority="3" aboveAverage="0" equalAverage="0" bottom="0" percent="0" rank="0" text="" dxfId="1">
      <formula>$F3="Lost"</formula>
    </cfRule>
    <cfRule type="expression" priority="4" aboveAverage="0" equalAverage="0" bottom="0" percent="0" rank="0" text="" dxfId="2">
      <formula>$P3="🔴 High"</formula>
    </cfRule>
  </conditionalFormatting>
  <conditionalFormatting sqref="H3:H100">
    <cfRule type="dataBar" priority="5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{7FA03281-165A-46B7-B58B-D2EB84938C70}</x14:id>
        </ext>
      </extLst>
    </cfRule>
  </conditionalFormatting>
  <dataValidations count="3">
    <dataValidation allowBlank="true" errorStyle="stop" operator="between" showDropDown="false" showErrorMessage="false" showInputMessage="false" sqref="F3:F100" type="list">
      <formula1>"Prospect,Qualified,Proposal,Negotiation,Won,Lost"</formula1>
      <formula2>0</formula2>
    </dataValidation>
    <dataValidation allowBlank="true" errorStyle="stop" operator="between" showDropDown="false" showErrorMessage="false" showInputMessage="false" sqref="J3:J100" type="list">
      <formula1>"Inbound,Outbound,Referral,Partner,Event,Social,Email,Cold Call,Other"</formula1>
      <formula2>0</formula2>
    </dataValidation>
    <dataValidation allowBlank="true" errorStyle="stop" operator="between" showDropDown="false" showErrorMessage="false" showInputMessage="false" sqref="P3:P100" type="list">
      <formula1>"🔴 High,🟡 Medium,🟢 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A03281-165A-46B7-B58B-D2EB84938C70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H3:H100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5" min="3" style="1" width="12"/>
    <col collapsed="false" customWidth="true" hidden="false" outlineLevel="0" max="8" min="6" style="1" width="16"/>
    <col collapsed="false" customWidth="true" hidden="false" outlineLevel="0" max="13" min="9" style="1" width="12"/>
    <col collapsed="false" customWidth="true" hidden="false" outlineLevel="0" max="14" min="14" style="1" width="30"/>
  </cols>
  <sheetData>
    <row r="1" customFormat="false" ht="21.75" hidden="false" customHeight="true" outlineLevel="0" collapsed="false">
      <c r="A1" s="61" t="s">
        <v>130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customFormat="false" ht="19.5" hidden="false" customHeight="true" outlineLevel="0" collapsed="false">
      <c r="A2" s="41" t="s">
        <v>131</v>
      </c>
      <c r="B2" s="41" t="s">
        <v>132</v>
      </c>
      <c r="C2" s="41" t="s">
        <v>133</v>
      </c>
      <c r="D2" s="41" t="s">
        <v>134</v>
      </c>
      <c r="E2" s="41" t="s">
        <v>135</v>
      </c>
      <c r="F2" s="41" t="s">
        <v>136</v>
      </c>
      <c r="G2" s="41" t="s">
        <v>137</v>
      </c>
      <c r="H2" s="41" t="s">
        <v>138</v>
      </c>
      <c r="I2" s="41" t="s">
        <v>139</v>
      </c>
      <c r="J2" s="41" t="s">
        <v>140</v>
      </c>
      <c r="K2" s="41" t="s">
        <v>141</v>
      </c>
      <c r="L2" s="41" t="s">
        <v>142</v>
      </c>
      <c r="M2" s="41" t="s">
        <v>143</v>
      </c>
      <c r="N2" s="41" t="s">
        <v>39</v>
      </c>
    </row>
    <row r="3" customFormat="false" ht="18" hidden="false" customHeight="true" outlineLevel="0" collapsed="false">
      <c r="A3" s="62" t="s">
        <v>144</v>
      </c>
      <c r="B3" s="63" t="n">
        <v>2025</v>
      </c>
      <c r="C3" s="63" t="n">
        <v>8</v>
      </c>
      <c r="D3" s="63" t="n">
        <v>3</v>
      </c>
      <c r="E3" s="63" t="n">
        <v>2</v>
      </c>
      <c r="F3" s="64" t="n">
        <v>145000</v>
      </c>
      <c r="G3" s="64" t="n">
        <v>62000</v>
      </c>
      <c r="H3" s="64" t="n">
        <v>18000</v>
      </c>
      <c r="I3" s="63" t="n">
        <v>42</v>
      </c>
      <c r="J3" s="63" t="n">
        <v>120</v>
      </c>
      <c r="K3" s="63" t="n">
        <v>8</v>
      </c>
      <c r="L3" s="65" t="n">
        <f aca="false">IFERROR(D3/(D3+E3),0)</f>
        <v>0.6</v>
      </c>
      <c r="M3" s="65" t="n">
        <f aca="false">IFERROR(D3/C3,0)</f>
        <v>0.375</v>
      </c>
    </row>
    <row r="4" customFormat="false" ht="18" hidden="false" customHeight="true" outlineLevel="0" collapsed="false">
      <c r="A4" s="66" t="s">
        <v>145</v>
      </c>
      <c r="B4" s="67" t="n">
        <v>2025</v>
      </c>
      <c r="C4" s="67" t="n">
        <v>6</v>
      </c>
      <c r="D4" s="67" t="n">
        <v>2</v>
      </c>
      <c r="E4" s="67" t="n">
        <v>1</v>
      </c>
      <c r="F4" s="68" t="n">
        <v>112000</v>
      </c>
      <c r="G4" s="68" t="n">
        <v>43000</v>
      </c>
      <c r="H4" s="68" t="n">
        <v>9000</v>
      </c>
      <c r="I4" s="67" t="n">
        <v>38</v>
      </c>
      <c r="J4" s="67" t="n">
        <v>105</v>
      </c>
      <c r="K4" s="67" t="n">
        <v>6</v>
      </c>
      <c r="L4" s="69" t="n">
        <f aca="false">IFERROR(D4/(D4+E4),0)</f>
        <v>0.666666666666667</v>
      </c>
      <c r="M4" s="69" t="n">
        <f aca="false">IFERROR(D4/C4,0)</f>
        <v>0.333333333333333</v>
      </c>
    </row>
    <row r="5" customFormat="false" ht="18" hidden="false" customHeight="true" outlineLevel="0" collapsed="false">
      <c r="A5" s="62" t="s">
        <v>146</v>
      </c>
      <c r="B5" s="63" t="n">
        <v>2025</v>
      </c>
      <c r="C5" s="63" t="n">
        <v>11</v>
      </c>
      <c r="D5" s="63" t="n">
        <v>5</v>
      </c>
      <c r="E5" s="63" t="n">
        <v>2</v>
      </c>
      <c r="F5" s="64" t="n">
        <v>198000</v>
      </c>
      <c r="G5" s="64" t="n">
        <v>97000</v>
      </c>
      <c r="H5" s="64" t="n">
        <v>22000</v>
      </c>
      <c r="I5" s="63" t="n">
        <v>55</v>
      </c>
      <c r="J5" s="63" t="n">
        <v>148</v>
      </c>
      <c r="K5" s="63" t="n">
        <v>12</v>
      </c>
      <c r="L5" s="65" t="n">
        <f aca="false">IFERROR(D5/(D5+E5),0)</f>
        <v>0.714285714285714</v>
      </c>
      <c r="M5" s="65" t="n">
        <f aca="false">IFERROR(D5/C5,0)</f>
        <v>0.454545454545455</v>
      </c>
    </row>
    <row r="6" customFormat="false" ht="18" hidden="false" customHeight="true" outlineLevel="0" collapsed="false">
      <c r="A6" s="66" t="s">
        <v>147</v>
      </c>
      <c r="B6" s="67" t="n">
        <v>2025</v>
      </c>
      <c r="C6" s="67" t="n">
        <v>9</v>
      </c>
      <c r="D6" s="67" t="n">
        <v>4</v>
      </c>
      <c r="E6" s="67" t="n">
        <v>3</v>
      </c>
      <c r="F6" s="68" t="n">
        <v>167000</v>
      </c>
      <c r="G6" s="68" t="n">
        <v>81000</v>
      </c>
      <c r="H6" s="68" t="n">
        <v>31000</v>
      </c>
      <c r="I6" s="67" t="n">
        <v>49</v>
      </c>
      <c r="J6" s="67" t="n">
        <v>132</v>
      </c>
      <c r="K6" s="67" t="n">
        <v>10</v>
      </c>
      <c r="L6" s="69" t="n">
        <f aca="false">IFERROR(D6/(D6+E6),0)</f>
        <v>0.571428571428571</v>
      </c>
      <c r="M6" s="69" t="n">
        <f aca="false">IFERROR(D6/C6,0)</f>
        <v>0.444444444444444</v>
      </c>
    </row>
    <row r="7" customFormat="false" ht="18" hidden="false" customHeight="true" outlineLevel="0" collapsed="false">
      <c r="A7" s="62" t="s">
        <v>148</v>
      </c>
      <c r="B7" s="63" t="n">
        <v>2025</v>
      </c>
      <c r="C7" s="63" t="n">
        <v>13</v>
      </c>
      <c r="D7" s="63" t="n">
        <v>6</v>
      </c>
      <c r="E7" s="63" t="n">
        <v>2</v>
      </c>
      <c r="F7" s="64" t="n">
        <v>241000</v>
      </c>
      <c r="G7" s="64" t="n">
        <v>118000</v>
      </c>
      <c r="H7" s="64" t="n">
        <v>19000</v>
      </c>
      <c r="I7" s="63" t="n">
        <v>61</v>
      </c>
      <c r="J7" s="63" t="n">
        <v>165</v>
      </c>
      <c r="K7" s="63" t="n">
        <v>15</v>
      </c>
      <c r="L7" s="65" t="n">
        <f aca="false">IFERROR(D7/(D7+E7),0)</f>
        <v>0.75</v>
      </c>
      <c r="M7" s="65" t="n">
        <f aca="false">IFERROR(D7/C7,0)</f>
        <v>0.461538461538462</v>
      </c>
    </row>
    <row r="8" customFormat="false" ht="18" hidden="false" customHeight="true" outlineLevel="0" collapsed="false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5" t="n">
        <f aca="false">IFERROR(D8/(D8+E8),0)</f>
        <v>0</v>
      </c>
      <c r="M8" s="65" t="n">
        <f aca="false">IFERROR(D8/C8,0)</f>
        <v>0</v>
      </c>
    </row>
    <row r="9" customFormat="false" ht="18" hidden="false" customHeight="true" outlineLevel="0" collapsed="false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69" t="n">
        <f aca="false">IFERROR(D9/(D9+E9),0)</f>
        <v>0</v>
      </c>
      <c r="M9" s="69" t="n">
        <f aca="false">IFERROR(D9/C9,0)</f>
        <v>0</v>
      </c>
    </row>
    <row r="10" customFormat="false" ht="18" hidden="false" customHeight="true" outlineLevel="0" collapsed="false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5" t="n">
        <f aca="false">IFERROR(D10/(D10+E10),0)</f>
        <v>0</v>
      </c>
      <c r="M10" s="65" t="n">
        <f aca="false">IFERROR(D10/C10,0)</f>
        <v>0</v>
      </c>
    </row>
    <row r="11" customFormat="false" ht="18" hidden="false" customHeight="true" outlineLevel="0" collapsed="false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69" t="n">
        <f aca="false">IFERROR(D11/(D11+E11),0)</f>
        <v>0</v>
      </c>
      <c r="M11" s="69" t="n">
        <f aca="false">IFERROR(D11/C11,0)</f>
        <v>0</v>
      </c>
    </row>
    <row r="12" customFormat="false" ht="18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5" t="n">
        <f aca="false">IFERROR(D12/(D12+E12),0)</f>
        <v>0</v>
      </c>
      <c r="M12" s="65" t="n">
        <f aca="false">IFERROR(D12/C12,0)</f>
        <v>0</v>
      </c>
    </row>
    <row r="13" customFormat="false" ht="18" hidden="false" customHeight="true" outlineLevel="0" collapsed="false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9" t="n">
        <f aca="false">IFERROR(D13/(D13+E13),0)</f>
        <v>0</v>
      </c>
      <c r="M13" s="69" t="n">
        <f aca="false">IFERROR(D13/C13,0)</f>
        <v>0</v>
      </c>
    </row>
    <row r="14" customFormat="false" ht="18" hidden="false" customHeight="true" outlineLevel="0" collapsed="false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5" t="n">
        <f aca="false">IFERROR(D14/(D14+E14),0)</f>
        <v>0</v>
      </c>
      <c r="M14" s="65" t="n">
        <f aca="false">IFERROR(D14/C14,0)</f>
        <v>0</v>
      </c>
    </row>
    <row r="15" customFormat="false" ht="18" hidden="false" customHeight="true" outlineLevel="0" collapsed="false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9" t="n">
        <f aca="false">IFERROR(D15/(D15+E15),0)</f>
        <v>0</v>
      </c>
      <c r="M15" s="69" t="n">
        <f aca="false">IFERROR(D15/C15,0)</f>
        <v>0</v>
      </c>
    </row>
    <row r="16" customFormat="false" ht="18" hidden="false" customHeight="true" outlineLevel="0" collapsed="false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5" t="n">
        <f aca="false">IFERROR(D16/(D16+E16),0)</f>
        <v>0</v>
      </c>
      <c r="M16" s="65" t="n">
        <f aca="false">IFERROR(D16/C16,0)</f>
        <v>0</v>
      </c>
    </row>
    <row r="17" customFormat="false" ht="18" hidden="false" customHeight="true" outlineLevel="0" collapsed="false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9" t="n">
        <f aca="false">IFERROR(D17/(D17+E17),0)</f>
        <v>0</v>
      </c>
      <c r="M17" s="69" t="n">
        <f aca="false">IFERROR(D17/C17,0)</f>
        <v>0</v>
      </c>
    </row>
    <row r="18" customFormat="false" ht="18" hidden="false" customHeight="true" outlineLevel="0" collapsed="false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5" t="n">
        <f aca="false">IFERROR(D18/(D18+E18),0)</f>
        <v>0</v>
      </c>
      <c r="M18" s="65" t="n">
        <f aca="false">IFERROR(D18/C18,0)</f>
        <v>0</v>
      </c>
    </row>
    <row r="19" customFormat="false" ht="18" hidden="false" customHeight="true" outlineLevel="0" collapsed="false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69" t="n">
        <f aca="false">IFERROR(D19/(D19+E19),0)</f>
        <v>0</v>
      </c>
      <c r="M19" s="69" t="n">
        <f aca="false">IFERROR(D19/C19,0)</f>
        <v>0</v>
      </c>
    </row>
    <row r="20" customFormat="false" ht="18" hidden="false" customHeight="true" outlineLevel="0" collapsed="false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5" t="n">
        <f aca="false">IFERROR(D20/(D20+E20),0)</f>
        <v>0</v>
      </c>
      <c r="M20" s="65" t="n">
        <f aca="false">IFERROR(D20/C20,0)</f>
        <v>0</v>
      </c>
    </row>
    <row r="21" customFormat="false" ht="18" hidden="false" customHeight="true" outlineLevel="0" collapsed="false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69" t="n">
        <f aca="false">IFERROR(D21/(D21+E21),0)</f>
        <v>0</v>
      </c>
      <c r="M21" s="69" t="n">
        <f aca="false">IFERROR(D21/C21,0)</f>
        <v>0</v>
      </c>
    </row>
    <row r="22" customFormat="false" ht="18" hidden="false" customHeight="true" outlineLevel="0" collapsed="false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5" t="n">
        <f aca="false">IFERROR(D22/(D22+E22),0)</f>
        <v>0</v>
      </c>
      <c r="M22" s="65" t="n">
        <f aca="false">IFERROR(D22/C22,0)</f>
        <v>0</v>
      </c>
    </row>
    <row r="23" customFormat="false" ht="18" hidden="false" customHeight="true" outlineLevel="0" collapsed="false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69" t="n">
        <f aca="false">IFERROR(D23/(D23+E23),0)</f>
        <v>0</v>
      </c>
      <c r="M23" s="69" t="n">
        <f aca="false">IFERROR(D23/C23,0)</f>
        <v>0</v>
      </c>
    </row>
    <row r="24" customFormat="false" ht="18" hidden="false" customHeight="true" outlineLevel="0" collapsed="false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5" t="n">
        <f aca="false">IFERROR(D24/(D24+E24),0)</f>
        <v>0</v>
      </c>
      <c r="M24" s="65" t="n">
        <f aca="false">IFERROR(D24/C24,0)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8" min="2" style="1" width="16"/>
  </cols>
  <sheetData>
    <row r="1" customFormat="false" ht="21.75" hidden="false" customHeight="true" outlineLevel="0" collapsed="false">
      <c r="A1" s="61" t="s">
        <v>149</v>
      </c>
      <c r="B1" s="61"/>
      <c r="C1" s="61"/>
      <c r="D1" s="61"/>
      <c r="E1" s="61"/>
      <c r="F1" s="61"/>
      <c r="G1" s="61"/>
      <c r="H1" s="61"/>
    </row>
    <row r="2" customFormat="false" ht="19.5" hidden="false" customHeight="true" outlineLevel="0" collapsed="false">
      <c r="A2" s="41" t="s">
        <v>150</v>
      </c>
      <c r="B2" s="41" t="s">
        <v>151</v>
      </c>
      <c r="C2" s="41" t="s">
        <v>152</v>
      </c>
      <c r="D2" s="41" t="s">
        <v>153</v>
      </c>
      <c r="E2" s="41" t="s">
        <v>154</v>
      </c>
      <c r="F2" s="41" t="s">
        <v>155</v>
      </c>
      <c r="G2" s="41" t="s">
        <v>156</v>
      </c>
      <c r="H2" s="41" t="s">
        <v>157</v>
      </c>
    </row>
    <row r="3" customFormat="false" ht="21.75" hidden="false" customHeight="true" outlineLevel="0" collapsed="false">
      <c r="A3" s="70" t="s">
        <v>158</v>
      </c>
      <c r="B3" s="71" t="n">
        <v>500000</v>
      </c>
      <c r="C3" s="71" t="n">
        <v>100000</v>
      </c>
      <c r="D3" s="71" t="n">
        <v>125000</v>
      </c>
      <c r="E3" s="71" t="n">
        <v>125000</v>
      </c>
      <c r="F3" s="71" t="n">
        <v>150000</v>
      </c>
      <c r="G3" s="72" t="n">
        <f aca="false">Pipeline!T4</f>
        <v>25000</v>
      </c>
      <c r="H3" s="73" t="n">
        <f aca="false">IFERROR(G3/B3,0)</f>
        <v>0.05</v>
      </c>
    </row>
    <row r="4" customFormat="false" ht="21.75" hidden="false" customHeight="true" outlineLevel="0" collapsed="false">
      <c r="A4" s="74" t="s">
        <v>159</v>
      </c>
      <c r="B4" s="75" t="n">
        <v>40</v>
      </c>
      <c r="C4" s="75" t="n">
        <v>8</v>
      </c>
      <c r="D4" s="75" t="n">
        <v>10</v>
      </c>
      <c r="E4" s="75" t="n">
        <v>11</v>
      </c>
      <c r="F4" s="75" t="n">
        <v>11</v>
      </c>
      <c r="G4" s="76" t="n">
        <f aca="false">COUNTIF(Pipeline!F3:F100,"Won")</f>
        <v>1</v>
      </c>
      <c r="H4" s="77" t="n">
        <f aca="false">IFERROR(G4/B4,0)</f>
        <v>0.025</v>
      </c>
    </row>
    <row r="5" customFormat="false" ht="21.75" hidden="false" customHeight="true" outlineLevel="0" collapsed="false">
      <c r="A5" s="70" t="s">
        <v>160</v>
      </c>
      <c r="B5" s="71" t="n">
        <v>1500000</v>
      </c>
      <c r="C5" s="71" t="n">
        <v>350000</v>
      </c>
      <c r="D5" s="71" t="n">
        <v>375000</v>
      </c>
      <c r="E5" s="71" t="n">
        <v>375000</v>
      </c>
      <c r="F5" s="71" t="n">
        <v>400000</v>
      </c>
      <c r="G5" s="72" t="n">
        <f aca="false">Pipeline!T2</f>
        <v>251700</v>
      </c>
      <c r="H5" s="73" t="n">
        <f aca="false">IFERROR(G5/B5,0)</f>
        <v>0.1678</v>
      </c>
    </row>
    <row r="6" customFormat="false" ht="21.75" hidden="false" customHeight="true" outlineLevel="0" collapsed="false">
      <c r="A6" s="74" t="s">
        <v>139</v>
      </c>
      <c r="B6" s="75" t="n">
        <v>600</v>
      </c>
      <c r="C6" s="75" t="n">
        <v>140</v>
      </c>
      <c r="D6" s="75" t="n">
        <v>150</v>
      </c>
      <c r="E6" s="75" t="n">
        <v>155</v>
      </c>
      <c r="F6" s="75" t="n">
        <v>155</v>
      </c>
      <c r="G6" s="76" t="n">
        <v>0</v>
      </c>
      <c r="H6" s="77" t="n">
        <f aca="false">IFERROR(G6/B6,0)</f>
        <v>0</v>
      </c>
    </row>
    <row r="7" customFormat="false" ht="21.75" hidden="false" customHeight="true" outlineLevel="0" collapsed="false">
      <c r="A7" s="70" t="s">
        <v>141</v>
      </c>
      <c r="B7" s="78" t="n">
        <v>80</v>
      </c>
      <c r="C7" s="78" t="n">
        <v>18</v>
      </c>
      <c r="D7" s="78" t="n">
        <v>20</v>
      </c>
      <c r="E7" s="78" t="n">
        <v>21</v>
      </c>
      <c r="F7" s="78" t="n">
        <v>21</v>
      </c>
      <c r="G7" s="79" t="n">
        <v>0</v>
      </c>
      <c r="H7" s="73" t="n">
        <f aca="false">IFERROR(G7/B7,0)</f>
        <v>0</v>
      </c>
    </row>
    <row r="8" customFormat="false" ht="21.75" hidden="false" customHeight="true" outlineLevel="0" collapsed="false">
      <c r="A8" s="74" t="s">
        <v>161</v>
      </c>
      <c r="B8" s="80" t="n">
        <v>12500</v>
      </c>
      <c r="C8" s="80" t="n">
        <v>12000</v>
      </c>
      <c r="D8" s="80" t="n">
        <v>12500</v>
      </c>
      <c r="E8" s="80" t="n">
        <v>12500</v>
      </c>
      <c r="F8" s="80" t="n">
        <v>13000</v>
      </c>
      <c r="G8" s="81" t="n">
        <f aca="false">Pipeline!T6</f>
        <v>29070</v>
      </c>
      <c r="H8" s="77" t="n">
        <f aca="false">IFERROR(G8/B8,0)</f>
        <v>2.3256</v>
      </c>
    </row>
    <row r="9" customFormat="false" ht="21.75" hidden="false" customHeight="true" outlineLevel="0" collapsed="false">
      <c r="A9" s="70" t="s">
        <v>142</v>
      </c>
      <c r="B9" s="82" t="n">
        <v>0.35</v>
      </c>
      <c r="C9" s="82" t="n">
        <v>0.3</v>
      </c>
      <c r="D9" s="82" t="n">
        <v>0.33</v>
      </c>
      <c r="E9" s="82" t="n">
        <v>0.35</v>
      </c>
      <c r="F9" s="82" t="n">
        <v>0.38</v>
      </c>
      <c r="G9" s="73" t="n">
        <f aca="false">Pipeline!T5</f>
        <v>0.5</v>
      </c>
      <c r="H9" s="73" t="n">
        <f aca="false">IFERROR(G9/B9,0)</f>
        <v>1.42857142857143</v>
      </c>
    </row>
  </sheetData>
  <mergeCells count="1">
    <mergeCell ref="A1:H1"/>
  </mergeCells>
  <conditionalFormatting sqref="H3:H9">
    <cfRule type="colorScale" priority="2">
      <colorScale>
        <cfvo type="num" val="0"/>
        <cfvo type="num" val="0.75"/>
        <cfvo type="num" val="1"/>
        <color rgb="FFFCE4D6"/>
        <color rgb="FFFFFF00"/>
        <color rgb="FFE2EF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C8F"/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4"/>
    <col collapsed="false" customWidth="true" hidden="false" outlineLevel="0" max="6" min="5" style="1" width="18"/>
    <col collapsed="false" customWidth="true" hidden="false" outlineLevel="0" max="7" min="7" style="1" width="14"/>
  </cols>
  <sheetData>
    <row r="1" customFormat="false" ht="21.75" hidden="false" customHeight="true" outlineLevel="0" collapsed="false">
      <c r="A1" s="61" t="s">
        <v>162</v>
      </c>
      <c r="B1" s="61"/>
      <c r="C1" s="61"/>
      <c r="D1" s="61"/>
      <c r="E1" s="61"/>
      <c r="F1" s="61"/>
      <c r="G1" s="61"/>
    </row>
    <row r="2" customFormat="false" ht="19.5" hidden="false" customHeight="true" outlineLevel="0" collapsed="false">
      <c r="A2" s="41" t="s">
        <v>32</v>
      </c>
      <c r="B2" s="41" t="s">
        <v>163</v>
      </c>
      <c r="C2" s="41" t="s">
        <v>164</v>
      </c>
      <c r="D2" s="41" t="s">
        <v>165</v>
      </c>
      <c r="E2" s="41" t="s">
        <v>166</v>
      </c>
      <c r="F2" s="41" t="s">
        <v>167</v>
      </c>
      <c r="G2" s="41" t="s">
        <v>142</v>
      </c>
    </row>
    <row r="3" customFormat="false" ht="18" hidden="false" customHeight="true" outlineLevel="0" collapsed="false">
      <c r="A3" s="20" t="s">
        <v>46</v>
      </c>
      <c r="B3" s="49" t="n">
        <f aca="false">COUNTIF(Pipeline!J3:J100,A3)</f>
        <v>3</v>
      </c>
      <c r="C3" s="49" t="n">
        <f aca="false">COUNTIFS(Pipeline!J3:J100,A3,Pipeline!F3:F100,"Won")</f>
        <v>0</v>
      </c>
      <c r="D3" s="49" t="n">
        <f aca="false">COUNTIFS(Pipeline!J3:J100,A3,Pipeline!F3:F100,"Lost")</f>
        <v>0</v>
      </c>
      <c r="E3" s="83" t="n">
        <f aca="false">SUMIF(Pipeline!J3:J100,A3,Pipeline!H3:H100)</f>
        <v>107000</v>
      </c>
      <c r="F3" s="83" t="n">
        <f aca="false">SUMIFS(Pipeline!H3:H100,Pipeline!J3:J100,A3,Pipeline!F3:F100,"Won")</f>
        <v>0</v>
      </c>
      <c r="G3" s="65" t="n">
        <f aca="false">IFERROR(C3/(C3+D3),0)</f>
        <v>0</v>
      </c>
    </row>
    <row r="4" customFormat="false" ht="18" hidden="false" customHeight="true" outlineLevel="0" collapsed="false">
      <c r="A4" s="84" t="s">
        <v>95</v>
      </c>
      <c r="B4" s="57" t="n">
        <f aca="false">COUNTIF(Pipeline!J3:J100,A4)</f>
        <v>1</v>
      </c>
      <c r="C4" s="57" t="n">
        <f aca="false">COUNTIFS(Pipeline!J3:J100,A4,Pipeline!F3:F100,"Won")</f>
        <v>0</v>
      </c>
      <c r="D4" s="57" t="n">
        <f aca="false">COUNTIFS(Pipeline!J3:J100,A4,Pipeline!F3:F100,"Lost")</f>
        <v>1</v>
      </c>
      <c r="E4" s="85" t="n">
        <f aca="false">SUMIF(Pipeline!J3:J100,A4,Pipeline!H3:H100)</f>
        <v>14000</v>
      </c>
      <c r="F4" s="85" t="n">
        <f aca="false">SUMIFS(Pipeline!H3:H100,Pipeline!J3:J100,A4,Pipeline!F3:F100,"Won")</f>
        <v>0</v>
      </c>
      <c r="G4" s="69" t="n">
        <f aca="false">IFERROR(C4/(C4+D4),0)</f>
        <v>0</v>
      </c>
    </row>
    <row r="5" customFormat="false" ht="18" hidden="false" customHeight="true" outlineLevel="0" collapsed="false">
      <c r="A5" s="20" t="s">
        <v>68</v>
      </c>
      <c r="B5" s="49" t="n">
        <f aca="false">COUNTIF(Pipeline!J3:J100,A5)</f>
        <v>2</v>
      </c>
      <c r="C5" s="49" t="n">
        <f aca="false">COUNTIFS(Pipeline!J3:J100,A5,Pipeline!F3:F100,"Won")</f>
        <v>0</v>
      </c>
      <c r="D5" s="49" t="n">
        <f aca="false">COUNTIFS(Pipeline!J3:J100,A5,Pipeline!F3:F100,"Lost")</f>
        <v>0</v>
      </c>
      <c r="E5" s="83" t="n">
        <f aca="false">SUMIF(Pipeline!J3:J100,A5,Pipeline!H3:H100)</f>
        <v>97000</v>
      </c>
      <c r="F5" s="83" t="n">
        <f aca="false">SUMIFS(Pipeline!H3:H100,Pipeline!J3:J100,A5,Pipeline!F3:F100,"Won")</f>
        <v>0</v>
      </c>
      <c r="G5" s="65" t="n">
        <f aca="false">IFERROR(C5/(C5+D5),0)</f>
        <v>0</v>
      </c>
    </row>
    <row r="6" customFormat="false" ht="18" hidden="false" customHeight="true" outlineLevel="0" collapsed="false">
      <c r="A6" s="84" t="s">
        <v>77</v>
      </c>
      <c r="B6" s="57" t="n">
        <f aca="false">COUNTIF(Pipeline!J3:J100,A6)</f>
        <v>1</v>
      </c>
      <c r="C6" s="57" t="n">
        <f aca="false">COUNTIFS(Pipeline!J3:J100,A6,Pipeline!F3:F100,"Won")</f>
        <v>0</v>
      </c>
      <c r="D6" s="57" t="n">
        <f aca="false">COUNTIFS(Pipeline!J3:J100,A6,Pipeline!F3:F100,"Lost")</f>
        <v>0</v>
      </c>
      <c r="E6" s="85" t="n">
        <f aca="false">SUMIF(Pipeline!J3:J100,A6,Pipeline!H3:H100)</f>
        <v>31000</v>
      </c>
      <c r="F6" s="85" t="n">
        <f aca="false">SUMIFS(Pipeline!H3:H100,Pipeline!J3:J100,A6,Pipeline!F3:F100,"Won")</f>
        <v>0</v>
      </c>
      <c r="G6" s="69" t="n">
        <f aca="false">IFERROR(C6/(C6+D6),0)</f>
        <v>0</v>
      </c>
    </row>
    <row r="7" customFormat="false" ht="18" hidden="false" customHeight="true" outlineLevel="0" collapsed="false">
      <c r="A7" s="20" t="s">
        <v>86</v>
      </c>
      <c r="B7" s="49" t="n">
        <f aca="false">COUNTIF(Pipeline!J3:J100,A7)</f>
        <v>1</v>
      </c>
      <c r="C7" s="49" t="n">
        <f aca="false">COUNTIFS(Pipeline!J3:J100,A7,Pipeline!F3:F100,"Won")</f>
        <v>1</v>
      </c>
      <c r="D7" s="49" t="n">
        <f aca="false">COUNTIFS(Pipeline!J3:J100,A7,Pipeline!F3:F100,"Lost")</f>
        <v>0</v>
      </c>
      <c r="E7" s="83" t="n">
        <f aca="false">SUMIF(Pipeline!J3:J100,A7,Pipeline!H3:H100)</f>
        <v>25000</v>
      </c>
      <c r="F7" s="83" t="n">
        <f aca="false">SUMIFS(Pipeline!H3:H100,Pipeline!J3:J100,A7,Pipeline!F3:F100,"Won")</f>
        <v>25000</v>
      </c>
      <c r="G7" s="65" t="n">
        <f aca="false">IFERROR(C7/(C7+D7),0)</f>
        <v>1</v>
      </c>
    </row>
    <row r="8" customFormat="false" ht="18" hidden="false" customHeight="true" outlineLevel="0" collapsed="false">
      <c r="A8" s="84" t="s">
        <v>119</v>
      </c>
      <c r="B8" s="57" t="n">
        <f aca="false">COUNTIF(Pipeline!J3:J100,A8)</f>
        <v>1</v>
      </c>
      <c r="C8" s="57" t="n">
        <f aca="false">COUNTIFS(Pipeline!J3:J100,A8,Pipeline!F3:F100,"Won")</f>
        <v>0</v>
      </c>
      <c r="D8" s="57" t="n">
        <f aca="false">COUNTIFS(Pipeline!J3:J100,A8,Pipeline!F3:F100,"Lost")</f>
        <v>0</v>
      </c>
      <c r="E8" s="85" t="n">
        <f aca="false">SUMIF(Pipeline!J3:J100,A8,Pipeline!H3:H100)</f>
        <v>7200</v>
      </c>
      <c r="F8" s="85" t="n">
        <f aca="false">SUMIFS(Pipeline!H3:H100,Pipeline!J3:J100,A8,Pipeline!F3:F100,"Won")</f>
        <v>0</v>
      </c>
      <c r="G8" s="69" t="n">
        <f aca="false">IFERROR(C8/(C8+D8),0)</f>
        <v>0</v>
      </c>
    </row>
    <row r="9" customFormat="false" ht="18" hidden="false" customHeight="true" outlineLevel="0" collapsed="false">
      <c r="A9" s="20" t="s">
        <v>168</v>
      </c>
      <c r="B9" s="49" t="n">
        <f aca="false">COUNTIF(Pipeline!J3:J100,A9)</f>
        <v>0</v>
      </c>
      <c r="C9" s="49" t="n">
        <f aca="false">COUNTIFS(Pipeline!J3:J100,A9,Pipeline!F3:F100,"Won")</f>
        <v>0</v>
      </c>
      <c r="D9" s="49" t="n">
        <f aca="false">COUNTIFS(Pipeline!J3:J100,A9,Pipeline!F3:F100,"Lost")</f>
        <v>0</v>
      </c>
      <c r="E9" s="83" t="n">
        <f aca="false">SUMIF(Pipeline!J3:J100,A9,Pipeline!H3:H100)</f>
        <v>0</v>
      </c>
      <c r="F9" s="83" t="n">
        <f aca="false">SUMIFS(Pipeline!H3:H100,Pipeline!J3:J100,A9,Pipeline!F3:F100,"Won")</f>
        <v>0</v>
      </c>
      <c r="G9" s="65" t="n">
        <f aca="false">IFERROR(C9/(C9+D9),0)</f>
        <v>0</v>
      </c>
    </row>
    <row r="10" customFormat="false" ht="18" hidden="false" customHeight="true" outlineLevel="0" collapsed="false">
      <c r="A10" s="84" t="s">
        <v>57</v>
      </c>
      <c r="B10" s="57" t="n">
        <f aca="false">COUNTIF(Pipeline!J3:J100,A10)</f>
        <v>1</v>
      </c>
      <c r="C10" s="57" t="n">
        <f aca="false">COUNTIFS(Pipeline!J3:J100,A10,Pipeline!F3:F100,"Won")</f>
        <v>0</v>
      </c>
      <c r="D10" s="57" t="n">
        <f aca="false">COUNTIFS(Pipeline!J3:J100,A10,Pipeline!F3:F100,"Lost")</f>
        <v>0</v>
      </c>
      <c r="E10" s="85" t="n">
        <f aca="false">SUMIF(Pipeline!J3:J100,A10,Pipeline!H3:H100)</f>
        <v>9500</v>
      </c>
      <c r="F10" s="85" t="n">
        <f aca="false">SUMIFS(Pipeline!H3:H100,Pipeline!J3:J100,A10,Pipeline!F3:F100,"Won")</f>
        <v>0</v>
      </c>
      <c r="G10" s="69" t="n">
        <f aca="false">IFERROR(C10/(C10+D10),0)</f>
        <v>0</v>
      </c>
    </row>
    <row r="11" customFormat="false" ht="18" hidden="false" customHeight="true" outlineLevel="0" collapsed="false">
      <c r="A11" s="20" t="s">
        <v>169</v>
      </c>
      <c r="B11" s="49" t="n">
        <f aca="false">COUNTIF(Pipeline!J3:J100,A11)</f>
        <v>0</v>
      </c>
      <c r="C11" s="49" t="n">
        <f aca="false">COUNTIFS(Pipeline!J3:J100,A11,Pipeline!F3:F100,"Won")</f>
        <v>0</v>
      </c>
      <c r="D11" s="49" t="n">
        <f aca="false">COUNTIFS(Pipeline!J3:J100,A11,Pipeline!F3:F100,"Lost")</f>
        <v>0</v>
      </c>
      <c r="E11" s="83" t="n">
        <f aca="false">SUMIF(Pipeline!J3:J100,A11,Pipeline!H3:H100)</f>
        <v>0</v>
      </c>
      <c r="F11" s="83" t="n">
        <f aca="false">SUMIFS(Pipeline!H3:H100,Pipeline!J3:J100,A11,Pipeline!F3:F100,"Won")</f>
        <v>0</v>
      </c>
      <c r="G11" s="65" t="n">
        <f aca="false">IFERROR(C11/(C11+D11),0)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B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62"/>
  </cols>
  <sheetData>
    <row r="1" customFormat="false" ht="27.75" hidden="false" customHeight="true" outlineLevel="0" collapsed="false">
      <c r="B1" s="86" t="s">
        <v>170</v>
      </c>
      <c r="C1" s="86"/>
    </row>
    <row r="3" customFormat="false" ht="25.5" hidden="false" customHeight="true" outlineLevel="0" collapsed="false">
      <c r="B3" s="87" t="s">
        <v>171</v>
      </c>
      <c r="C3" s="87"/>
    </row>
    <row r="4" customFormat="false" ht="21.75" hidden="false" customHeight="true" outlineLevel="0" collapsed="false">
      <c r="B4" s="88" t="s">
        <v>172</v>
      </c>
      <c r="C4" s="11" t="s">
        <v>173</v>
      </c>
    </row>
    <row r="5" customFormat="false" ht="21.75" hidden="false" customHeight="true" outlineLevel="0" collapsed="false">
      <c r="B5" s="88" t="s">
        <v>174</v>
      </c>
      <c r="C5" s="11" t="s">
        <v>175</v>
      </c>
    </row>
    <row r="6" customFormat="false" ht="21.75" hidden="false" customHeight="true" outlineLevel="0" collapsed="false">
      <c r="B6" s="88" t="s">
        <v>176</v>
      </c>
      <c r="C6" s="11" t="s">
        <v>177</v>
      </c>
    </row>
    <row r="7" customFormat="false" ht="21.75" hidden="false" customHeight="true" outlineLevel="0" collapsed="false">
      <c r="B7" s="88" t="s">
        <v>178</v>
      </c>
      <c r="C7" s="11" t="s">
        <v>179</v>
      </c>
    </row>
    <row r="8" customFormat="false" ht="21.75" hidden="false" customHeight="true" outlineLevel="0" collapsed="false">
      <c r="B8" s="88" t="s">
        <v>180</v>
      </c>
      <c r="C8" s="11" t="s">
        <v>181</v>
      </c>
    </row>
    <row r="9" customFormat="false" ht="21.75" hidden="false" customHeight="true" outlineLevel="0" collapsed="false">
      <c r="B9" s="88" t="s">
        <v>182</v>
      </c>
      <c r="C9" s="11" t="s">
        <v>183</v>
      </c>
    </row>
    <row r="10" customFormat="false" ht="25.5" hidden="false" customHeight="true" outlineLevel="0" collapsed="false"/>
    <row r="11" customFormat="false" ht="25.5" hidden="false" customHeight="true" outlineLevel="0" collapsed="false">
      <c r="B11" s="87" t="s">
        <v>184</v>
      </c>
      <c r="C11" s="87"/>
    </row>
    <row r="12" customFormat="false" ht="21.75" hidden="false" customHeight="true" outlineLevel="0" collapsed="false">
      <c r="B12" s="88" t="s">
        <v>185</v>
      </c>
      <c r="C12" s="11" t="s">
        <v>186</v>
      </c>
    </row>
    <row r="13" customFormat="false" ht="21.75" hidden="false" customHeight="true" outlineLevel="0" collapsed="false">
      <c r="B13" s="88" t="s">
        <v>187</v>
      </c>
      <c r="C13" s="11" t="s">
        <v>188</v>
      </c>
    </row>
    <row r="14" customFormat="false" ht="21.75" hidden="false" customHeight="true" outlineLevel="0" collapsed="false">
      <c r="B14" s="88" t="s">
        <v>189</v>
      </c>
      <c r="C14" s="11" t="s">
        <v>190</v>
      </c>
    </row>
    <row r="15" customFormat="false" ht="21.75" hidden="false" customHeight="true" outlineLevel="0" collapsed="false">
      <c r="B15" s="88" t="s">
        <v>191</v>
      </c>
      <c r="C15" s="11" t="s">
        <v>192</v>
      </c>
    </row>
    <row r="16" customFormat="false" ht="21.75" hidden="false" customHeight="true" outlineLevel="0" collapsed="false">
      <c r="B16" s="88" t="s">
        <v>193</v>
      </c>
      <c r="C16" s="11" t="s">
        <v>194</v>
      </c>
    </row>
    <row r="17" customFormat="false" ht="21.75" hidden="false" customHeight="true" outlineLevel="0" collapsed="false">
      <c r="B17" s="88" t="s">
        <v>195</v>
      </c>
      <c r="C17" s="11" t="s">
        <v>196</v>
      </c>
    </row>
    <row r="18" customFormat="false" ht="25.5" hidden="false" customHeight="true" outlineLevel="0" collapsed="false"/>
    <row r="19" customFormat="false" ht="25.5" hidden="false" customHeight="true" outlineLevel="0" collapsed="false">
      <c r="B19" s="87" t="s">
        <v>197</v>
      </c>
      <c r="C19" s="87"/>
    </row>
    <row r="20" customFormat="false" ht="21.75" hidden="false" customHeight="true" outlineLevel="0" collapsed="false">
      <c r="B20" s="88" t="s">
        <v>198</v>
      </c>
      <c r="C20" s="11" t="s">
        <v>199</v>
      </c>
    </row>
    <row r="21" customFormat="false" ht="21.75" hidden="false" customHeight="true" outlineLevel="0" collapsed="false">
      <c r="B21" s="88" t="s">
        <v>200</v>
      </c>
      <c r="C21" s="11" t="s">
        <v>201</v>
      </c>
    </row>
    <row r="22" customFormat="false" ht="21.75" hidden="false" customHeight="true" outlineLevel="0" collapsed="false">
      <c r="B22" s="88" t="s">
        <v>202</v>
      </c>
      <c r="C22" s="11" t="s">
        <v>203</v>
      </c>
    </row>
    <row r="23" customFormat="false" ht="21.75" hidden="false" customHeight="true" outlineLevel="0" collapsed="false">
      <c r="B23" s="88" t="s">
        <v>204</v>
      </c>
      <c r="C23" s="11" t="s">
        <v>205</v>
      </c>
    </row>
    <row r="24" customFormat="false" ht="21.75" hidden="false" customHeight="true" outlineLevel="0" collapsed="false">
      <c r="B24" s="88" t="s">
        <v>206</v>
      </c>
      <c r="C24" s="11" t="s">
        <v>207</v>
      </c>
    </row>
    <row r="25" customFormat="false" ht="21.75" hidden="false" customHeight="true" outlineLevel="0" collapsed="false">
      <c r="B25" s="88" t="s">
        <v>208</v>
      </c>
      <c r="C25" s="11" t="s">
        <v>209</v>
      </c>
    </row>
    <row r="26" customFormat="false" ht="25.5" hidden="false" customHeight="true" outlineLevel="0" collapsed="false"/>
    <row r="27" customFormat="false" ht="25.5" hidden="false" customHeight="true" outlineLevel="0" collapsed="false">
      <c r="B27" s="87" t="s">
        <v>210</v>
      </c>
      <c r="C27" s="87"/>
    </row>
    <row r="28" customFormat="false" ht="21.75" hidden="false" customHeight="true" outlineLevel="0" collapsed="false">
      <c r="B28" s="88" t="s">
        <v>211</v>
      </c>
      <c r="C28" s="11" t="s">
        <v>212</v>
      </c>
    </row>
    <row r="29" customFormat="false" ht="21.75" hidden="false" customHeight="true" outlineLevel="0" collapsed="false">
      <c r="B29" s="88" t="s">
        <v>213</v>
      </c>
      <c r="C29" s="11" t="s">
        <v>214</v>
      </c>
    </row>
    <row r="30" customFormat="false" ht="21.75" hidden="false" customHeight="true" outlineLevel="0" collapsed="false">
      <c r="B30" s="88" t="s">
        <v>215</v>
      </c>
      <c r="C30" s="11" t="s">
        <v>216</v>
      </c>
    </row>
    <row r="31" customFormat="false" ht="21.75" hidden="false" customHeight="true" outlineLevel="0" collapsed="false">
      <c r="B31" s="88" t="s">
        <v>217</v>
      </c>
      <c r="C31" s="11" t="s">
        <v>218</v>
      </c>
    </row>
    <row r="32" customFormat="false" ht="21.75" hidden="false" customHeight="true" outlineLevel="0" collapsed="false">
      <c r="B32" s="88" t="s">
        <v>219</v>
      </c>
      <c r="C32" s="11" t="s">
        <v>220</v>
      </c>
    </row>
    <row r="33" customFormat="false" ht="21.75" hidden="false" customHeight="true" outlineLevel="0" collapsed="false">
      <c r="B33" s="88" t="s">
        <v>221</v>
      </c>
      <c r="C33" s="11" t="s">
        <v>222</v>
      </c>
    </row>
  </sheetData>
  <mergeCells count="5">
    <mergeCell ref="B1:C1"/>
    <mergeCell ref="B3:C3"/>
    <mergeCell ref="B11:C11"/>
    <mergeCell ref="B19:C19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2026-05-31T19:26:28Z</dcterms:created>
  <dc:creator>openpyxl</dc:creator>
  <dc:description/>
  <dc:language>en-US</dc:language>
  <cp:lastModifiedBy/>
  <dcterms:modified xsi:type="dcterms:W3CDTF">2026-05-31T19:27:07Z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